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СНОВА" sheetId="1" r:id="rId5"/>
    <sheet state="visible" name="Новички" sheetId="2" r:id="rId6"/>
    <sheet state="visible" name="Лист2" sheetId="3" r:id="rId7"/>
    <sheet state="visible" name="Лист3" sheetId="4" r:id="rId8"/>
    <sheet state="visible" name="Лист4" sheetId="5" r:id="rId9"/>
    <sheet state="visible" name="Кузьминки" sheetId="6" r:id="rId10"/>
    <sheet state="visible" name="измайлово" sheetId="7" r:id="rId11"/>
    <sheet state="visible" name="царицыно" sheetId="8" r:id="rId12"/>
    <sheet state="visible" name="кусково" sheetId="9" r:id="rId13"/>
    <sheet state="visible" name="Троицк" sheetId="10" r:id="rId14"/>
    <sheet state="visible" name="Печатники" sheetId="11" r:id="rId15"/>
    <sheet state="visible" name="Иваново" sheetId="12" r:id="rId16"/>
    <sheet state="visible" name="Лист10" sheetId="13" r:id="rId17"/>
    <sheet state="visible" name="среднее по РФ" sheetId="14" r:id="rId18"/>
  </sheets>
  <definedNames>
    <definedName hidden="1" localSheetId="0" name="_xlnm._FilterDatabase">'ОСНОВА'!$A$1:$AN$1178</definedName>
  </definedNames>
  <calcPr/>
</workbook>
</file>

<file path=xl/sharedStrings.xml><?xml version="1.0" encoding="utf-8"?>
<sst xmlns="http://schemas.openxmlformats.org/spreadsheetml/2006/main" count="333" uniqueCount="235">
  <si>
    <t>Дата</t>
  </si>
  <si>
    <t>РФ</t>
  </si>
  <si>
    <t>Ангарские</t>
  </si>
  <si>
    <t>Гольяново</t>
  </si>
  <si>
    <t>Кузьминки</t>
  </si>
  <si>
    <t>Кусково</t>
  </si>
  <si>
    <t>Олимпийка</t>
  </si>
  <si>
    <t>Царицыно</t>
  </si>
  <si>
    <t>Измайлово</t>
  </si>
  <si>
    <t>Троицк</t>
  </si>
  <si>
    <t>Печатники</t>
  </si>
  <si>
    <t>Екатерининский</t>
  </si>
  <si>
    <t>ЗИЛ</t>
  </si>
  <si>
    <t>Вешняки</t>
  </si>
  <si>
    <t>Некрасовка</t>
  </si>
  <si>
    <t>Люблино</t>
  </si>
  <si>
    <t>Альметьевск</t>
  </si>
  <si>
    <t>Щёлково</t>
  </si>
  <si>
    <t>Ленск</t>
  </si>
  <si>
    <t>Орехово-
Зуево</t>
  </si>
  <si>
    <t>Тверь</t>
  </si>
  <si>
    <t>Иваново</t>
  </si>
  <si>
    <t>Хабаровск</t>
  </si>
  <si>
    <t>В.Новгород</t>
  </si>
  <si>
    <t xml:space="preserve">Саранск </t>
  </si>
  <si>
    <t>Пенза</t>
  </si>
  <si>
    <t>Валдай</t>
  </si>
  <si>
    <t>Подольск</t>
  </si>
  <si>
    <t xml:space="preserve">Гомель </t>
  </si>
  <si>
    <t>Гродно</t>
  </si>
  <si>
    <t xml:space="preserve">Брест </t>
  </si>
  <si>
    <t>Белград</t>
  </si>
  <si>
    <t>НовиСад</t>
  </si>
  <si>
    <t>S95&amp;F</t>
  </si>
  <si>
    <t>ИТОГ</t>
  </si>
  <si>
    <t>Среднее в РФ</t>
  </si>
  <si>
    <t>Среднее</t>
  </si>
  <si>
    <t>Среднее в РБ</t>
  </si>
  <si>
    <t>Примечание</t>
  </si>
  <si>
    <t>Минимально</t>
  </si>
  <si>
    <t>Максимально</t>
  </si>
  <si>
    <t>СРЕДНЕЕ</t>
  </si>
  <si>
    <t>московский полумарафон</t>
  </si>
  <si>
    <t>забег маяков</t>
  </si>
  <si>
    <t>в москве холодно -20</t>
  </si>
  <si>
    <t>снегопад, 2 отмены</t>
  </si>
  <si>
    <t>дпололнительный страт 1 января</t>
  </si>
  <si>
    <t>первая большая зима</t>
  </si>
  <si>
    <t>помпоны</t>
  </si>
  <si>
    <t>точка сбора 2025</t>
  </si>
  <si>
    <t>рабочая суббота</t>
  </si>
  <si>
    <t>хогвартс</t>
  </si>
  <si>
    <t>маяки 7.0</t>
  </si>
  <si>
    <t>Спорт-марафон фест</t>
  </si>
  <si>
    <t>Троицк и Зелёный марафон</t>
  </si>
  <si>
    <t>забег.рф</t>
  </si>
  <si>
    <t>эстафета по Садовому</t>
  </si>
  <si>
    <t>спартаковский</t>
  </si>
  <si>
    <t>маяки 6.0</t>
  </si>
  <si>
    <t>дополнительный старт</t>
  </si>
  <si>
    <t>рабоччая суббота</t>
  </si>
  <si>
    <t>др троицк</t>
  </si>
  <si>
    <t>Некрасовкка</t>
  </si>
  <si>
    <t>Участников</t>
  </si>
  <si>
    <t>Новичков</t>
  </si>
  <si>
    <t>% новичков</t>
  </si>
  <si>
    <t>Ангарские пруды</t>
  </si>
  <si>
    <t>Роман САМОХВАЛОВ</t>
  </si>
  <si>
    <t>Александра ГОНЧАРОВА</t>
  </si>
  <si>
    <t>Тимур ГАЛИМОВ</t>
  </si>
  <si>
    <t>Елена КРАСИЛЬНИКОВА</t>
  </si>
  <si>
    <t>Mikhail AGAFONOV</t>
  </si>
  <si>
    <t>Анастасия НЕЧЕСОВА</t>
  </si>
  <si>
    <t>Данил МАЛАФЕЕВ</t>
  </si>
  <si>
    <t>Татьяна РЫБИНСКАЯ</t>
  </si>
  <si>
    <t>Великий Новгород</t>
  </si>
  <si>
    <t>Александр Сова</t>
  </si>
  <si>
    <t>Ольга ВОРОБЬЕВА</t>
  </si>
  <si>
    <t>Андрей ДАНЬКО</t>
  </si>
  <si>
    <t>Мария УДАЛОВА</t>
  </si>
  <si>
    <t>Владимир ДУНЯХИН</t>
  </si>
  <si>
    <t>Наталия СИТНИКОВА</t>
  </si>
  <si>
    <t>Ярослав БЕЛОУСОВ</t>
  </si>
  <si>
    <t>Надежда АНФИМОВА</t>
  </si>
  <si>
    <t>Дмитрий ТИХОНОВ</t>
  </si>
  <si>
    <t>Marina ZAYTSEVA</t>
  </si>
  <si>
    <t>Роман БЕЛЬЧИК</t>
  </si>
  <si>
    <t>Елизавета ГОЛУБЕВА</t>
  </si>
  <si>
    <t>Олимпийская Деревня</t>
  </si>
  <si>
    <t>Дмитрий РЫБАЛКИН</t>
  </si>
  <si>
    <t>xx:xx</t>
  </si>
  <si>
    <t>Орехово-Зуево</t>
  </si>
  <si>
    <t>Владимир ГОЛОКОЛОСОВ</t>
  </si>
  <si>
    <t>Анна ПАВЛОВА</t>
  </si>
  <si>
    <t>Денис РЯДНЫХ</t>
  </si>
  <si>
    <t>Ксения РОМАНОВА</t>
  </si>
  <si>
    <t>Антон БОЛДИНЮК</t>
  </si>
  <si>
    <t>Мария ЕЖУНОВА</t>
  </si>
  <si>
    <t>Саранск</t>
  </si>
  <si>
    <t>Альберт ЛАТЫШЕВ</t>
  </si>
  <si>
    <t>Вероника НЕКАЕВА</t>
  </si>
  <si>
    <t>Пристань Печатники</t>
  </si>
  <si>
    <t>Леонид КОРОЛЁВ</t>
  </si>
  <si>
    <t>Дарья ОДИНОКИХ</t>
  </si>
  <si>
    <t>Алексей ФИЛИН</t>
  </si>
  <si>
    <t>Юлия ОТТО</t>
  </si>
  <si>
    <t>Александр ОСТАПОВ</t>
  </si>
  <si>
    <t>Екатерина ХОРЗОВА</t>
  </si>
  <si>
    <t>Денис ТУРОЧКА</t>
  </si>
  <si>
    <t>Армине МЕЛИКЯН</t>
  </si>
  <si>
    <t>Иван АНЦИФЕРОВ</t>
  </si>
  <si>
    <t>Светлана СИРОТА</t>
  </si>
  <si>
    <t>Александр РАСПЕРТОВ</t>
  </si>
  <si>
    <t>Светлана ТЕРЕШОНКОВА</t>
  </si>
  <si>
    <t>Амаяк ГЕВОРГЯН</t>
  </si>
  <si>
    <t>Валерия ШАМАЕВА</t>
  </si>
  <si>
    <t>Belgrade</t>
  </si>
  <si>
    <t>Дмитрий КУСТЕРСКИЙ</t>
  </si>
  <si>
    <t>Viktoriia KAZANTSEVA</t>
  </si>
  <si>
    <t>Novi Sad</t>
  </si>
  <si>
    <t>Ринат ХАЙРУЛЛИН</t>
  </si>
  <si>
    <t>Татьяна РЫБАЧУК</t>
  </si>
  <si>
    <t>Брест</t>
  </si>
  <si>
    <t>Борис Сельвисюк</t>
  </si>
  <si>
    <t>Елена НИКИТИНА</t>
  </si>
  <si>
    <t>Гомель</t>
  </si>
  <si>
    <t>Евгений МАГОНОВ</t>
  </si>
  <si>
    <t>Диана ЛАСИЦА</t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</si>
  <si>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2.0"/>
        <u/>
      </rPr>
      <t>Ангарские пруды</t>
    </r>
  </si>
  <si>
    <t>Максим ЕРМАКОВ</t>
  </si>
  <si>
    <t>Ирина КОПЫЛОВА</t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</si>
  <si>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2.0"/>
        <u/>
      </rPr>
      <t>Гольяново</t>
    </r>
  </si>
  <si>
    <t>Ренат ХУДАЙБЕРДИН</t>
  </si>
  <si>
    <t>Алла КУНИНА</t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</si>
  <si>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2.0"/>
        <u/>
      </rPr>
      <t>Валдай</t>
    </r>
  </si>
  <si>
    <t>Евгений РЫБИНСКИЙ</t>
  </si>
  <si>
    <t>Мария БАРУЦКОВА</t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</si>
  <si>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2.0"/>
        <u/>
      </rPr>
      <t>Иваново</t>
    </r>
  </si>
  <si>
    <t>Андрей МАСЛОВ</t>
  </si>
  <si>
    <t>Диана ПЫХОВА</t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</si>
  <si>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2.0"/>
        <u/>
      </rPr>
      <t>Екатерининский</t>
    </r>
  </si>
  <si>
    <t>Рaмиль ЯХYДИН</t>
  </si>
  <si>
    <t>Елена ВЛАСОВА</t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</si>
  <si>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2.0"/>
        <u/>
      </rPr>
      <t>Измайлово</t>
    </r>
  </si>
  <si>
    <t>Николай ШЛЫКОВ</t>
  </si>
  <si>
    <t>Елена КИРЕЕВА</t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</si>
  <si>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2.0"/>
        <u/>
      </rPr>
      <t>Кузьминки</t>
    </r>
  </si>
  <si>
    <t>Алина ПЕТРУК</t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</si>
  <si>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2.0"/>
        <u/>
      </rPr>
      <t>Кусково</t>
    </r>
  </si>
  <si>
    <t>Андрей ПОТАШОВ</t>
  </si>
  <si>
    <t>Яна ВОРОБЬЕВА</t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</si>
  <si>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2.0"/>
        <u/>
      </rPr>
      <t>Олимпийская Деревня</t>
    </r>
  </si>
  <si>
    <t>Максим ТИНЬКОВ</t>
  </si>
  <si>
    <t>Татьяна КОЛЕСНИКОВА</t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</si>
  <si>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2.0"/>
        <u/>
      </rPr>
      <t>Орехово-Зуево</t>
    </r>
  </si>
  <si>
    <t>Елена ТИМОФЕЕВА</t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</si>
  <si>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2.0"/>
        <u/>
      </rPr>
      <t>Подольск</t>
    </r>
  </si>
  <si>
    <t>Ольга БАЙРАШЕВА</t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</si>
  <si>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2.0"/>
        <u/>
      </rPr>
      <t>Тверь</t>
    </r>
  </si>
  <si>
    <t>Дарья ЦВЕТКОВА</t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</si>
  <si>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2.0"/>
        <u/>
      </rPr>
      <t>Саранск</t>
    </r>
  </si>
  <si>
    <t>Андрей ПРОНИН</t>
  </si>
  <si>
    <t>Людмила АРХИПОВА</t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</si>
  <si>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2.0"/>
        <u/>
      </rPr>
      <t>Пристань Печатники</t>
    </r>
  </si>
  <si>
    <t>Олег РУДЕНКО</t>
  </si>
  <si>
    <t>Вера БАХТЕРЕВА</t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</si>
  <si>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2.0"/>
        <u/>
      </rPr>
      <t>Пенза</t>
    </r>
  </si>
  <si>
    <t>Алексей ВИХАРЬКОВ</t>
  </si>
  <si>
    <t>Юлия ШЕРЫХАЛИНА</t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</si>
  <si>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2.0"/>
        <u/>
      </rPr>
      <t>Ленск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</si>
  <si>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2.0"/>
        <u/>
      </rPr>
      <t>Троицк</t>
    </r>
  </si>
  <si>
    <t>Андрей СКУРИХИН</t>
  </si>
  <si>
    <t>Людмила МИКЛЯЕВА</t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</si>
  <si>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2.0"/>
        <u/>
      </rPr>
      <t>Хабаровск</t>
    </r>
  </si>
  <si>
    <t>Альберт ЮДИЦКИЙ</t>
  </si>
  <si>
    <t>Татьяна ДАРАЕВА</t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</si>
  <si>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2.0"/>
        <u/>
      </rPr>
      <t>Царицыно</t>
    </r>
  </si>
  <si>
    <t>Алексей АКИНИН</t>
  </si>
  <si>
    <t>Надежда ВОРОНЦОВА</t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</si>
  <si>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2.0"/>
        <u/>
      </rPr>
      <t>Щёлково</t>
    </r>
  </si>
  <si>
    <t>Кирилл Рик</t>
  </si>
  <si>
    <t>Марина РОДИОНОВА</t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</si>
  <si>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2.0"/>
        <u/>
      </rPr>
      <t>Альметьевск</t>
    </r>
  </si>
  <si>
    <t>Кристина СМОЛЬКИНА</t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</si>
  <si>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2.0"/>
        <u/>
      </rPr>
      <t>Великий Новгород</t>
    </r>
  </si>
  <si>
    <t>Владимир Никитин</t>
  </si>
  <si>
    <t>Анастасия Алексеева</t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</si>
  <si>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2.0"/>
        <u/>
      </rPr>
      <t>Belgrade</t>
    </r>
  </si>
  <si>
    <t>Aca JOVANOVIC</t>
  </si>
  <si>
    <t>Irina LARINA</t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</si>
  <si>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2.0"/>
        <u/>
      </rPr>
      <t>Novi Sad</t>
    </r>
  </si>
  <si>
    <t>Marina IVANTSOVA</t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</si>
  <si>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2.0"/>
        <u/>
      </rPr>
      <t>Брест</t>
    </r>
  </si>
  <si>
    <t>Ivan VODCHYTS</t>
  </si>
  <si>
    <t>Екатерина ОКЛИНСКАЯ</t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</si>
  <si>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2.0"/>
        <u/>
      </rPr>
      <t>Гомель</t>
    </r>
  </si>
  <si>
    <t>Александр БУЛАВИНСКИЙ</t>
  </si>
  <si>
    <t>Светлана ЯРОВАЯ</t>
  </si>
  <si>
    <t>Максим МАХНО</t>
  </si>
  <si>
    <t>Юна КРАВЧЕНКО</t>
  </si>
  <si>
    <t>Александр КИРИЛЛОВ</t>
  </si>
  <si>
    <t>Сергей БАБУШИНОВ</t>
  </si>
  <si>
    <t>Ренат НУРИМАНОВ</t>
  </si>
  <si>
    <t>Ксения АБРАМОВА</t>
  </si>
  <si>
    <t>Владислав ЮШИНОВ</t>
  </si>
  <si>
    <t>Сергей НАЗИН</t>
  </si>
  <si>
    <t>Ирина КИРДЯШКИНА</t>
  </si>
  <si>
    <t>Юрий ВОЛОДИН</t>
  </si>
  <si>
    <t>Светлана БРЕДИХИНА</t>
  </si>
  <si>
    <t>Семен КАЮМОВ</t>
  </si>
  <si>
    <t>Петр ЯРЕМЕНКО</t>
  </si>
  <si>
    <t>Наталья ДРЯГИНА</t>
  </si>
  <si>
    <t>Роман ЦВЕТКОВ</t>
  </si>
  <si>
    <t>Яна ЗАХАРОВА</t>
  </si>
  <si>
    <t>Альберт КАРИМОВ</t>
  </si>
  <si>
    <t>Елена БЕЛАВИНА</t>
  </si>
  <si>
    <t>Степан НУДИПЛОДОВ</t>
  </si>
  <si>
    <t>Людмила БЕГАЕВА</t>
  </si>
  <si>
    <t>Andrey KASHIRIN</t>
  </si>
  <si>
    <t>Юлия ФОГЕЛЬ</t>
  </si>
  <si>
    <t>Сергей СЕМЕНЧЕВ</t>
  </si>
  <si>
    <t>Наталья КАЗАКОВА</t>
  </si>
  <si>
    <t>Тимофей ПУХОВ</t>
  </si>
  <si>
    <t>Ирина ГРАЧЕВА</t>
  </si>
  <si>
    <t>Роман БРИТВИН</t>
  </si>
  <si>
    <t>Василий КОЛЬЦОВ</t>
  </si>
  <si>
    <t>Алексей ГУЛЯЕВ</t>
  </si>
  <si>
    <t>София СОКОЛОВА</t>
  </si>
  <si>
    <t>Денис ПОКРОВСКИЙ</t>
  </si>
  <si>
    <t>Евгения ЗАХАРЧЕНКО</t>
  </si>
  <si>
    <t>Евгений АНДРУШКЕВИЧ</t>
  </si>
  <si>
    <t>Andrei RIABOV</t>
  </si>
  <si>
    <t>Kseniia FERAPONTOVA</t>
  </si>
  <si>
    <t>Rustam FAKHRETDINOV</t>
  </si>
  <si>
    <t>Elena KAMENTSEVA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</si>
</sst>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.mm.yyyy"/>
    <numFmt numFmtId="165" formatCode="dd.MM.yyyy"/>
    <numFmt numFmtId="166" formatCode="dd.mm.yy"/>
    <numFmt numFmtId="167" formatCode="0.0%"/>
  </numFmts>
  <fonts count="43">
    <font>
      <sz val="10.0"/>
      <color rgb="FF000000"/>
      <name val="Arial"/>
      <scheme val="minor"/>
    </font>
    <font>
      <sz val="9.0"/>
      <color rgb="FF000000"/>
      <name val="Calibri"/>
    </font>
    <font>
      <b/>
      <sz val="12.0"/>
      <color rgb="FF212529"/>
      <name val="Arial"/>
    </font>
    <font>
      <b/>
      <sz val="11.0"/>
      <color rgb="FF000000"/>
      <name val="Calibri"/>
    </font>
    <font>
      <u/>
      <sz val="11.0"/>
      <color rgb="FF0563C1"/>
      <name val="Calibri"/>
    </font>
    <font>
      <sz val="12.0"/>
      <color rgb="FF212529"/>
      <name val="Segoe UI"/>
    </font>
    <font>
      <sz val="12.0"/>
      <color rgb="FF212529"/>
      <name val="Arial"/>
    </font>
    <font>
      <color theme="1"/>
      <name val="Arial"/>
    </font>
    <font>
      <b/>
      <sz val="12.0"/>
      <color rgb="FF212529"/>
      <name val="Segoe UI"/>
    </font>
    <font>
      <sz val="11.0"/>
      <color theme="1"/>
      <name val="Calibri"/>
    </font>
    <font>
      <sz val="12.0"/>
      <color theme="1"/>
      <name val="Calibri"/>
    </font>
    <font>
      <color theme="1"/>
      <name val="Arial"/>
      <scheme val="minor"/>
    </font>
    <font>
      <u/>
      <sz val="11.0"/>
      <color rgb="FF0563C1"/>
      <name val="Calibri"/>
    </font>
    <font>
      <sz val="12.0"/>
      <color rgb="FF212529"/>
      <name val="&quot;Segoe UI&quot;"/>
    </font>
    <font>
      <b/>
      <sz val="12.0"/>
      <color rgb="FF212529"/>
      <name val="&quot;Segoe UI&quot;"/>
    </font>
    <font>
      <sz val="11.0"/>
      <color rgb="FF000000"/>
      <name val="Calibri"/>
    </font>
    <font>
      <sz val="12.0"/>
      <color rgb="FF000000"/>
      <name val="Calibri"/>
    </font>
    <font>
      <u/>
      <sz val="11.0"/>
      <color rgb="FF0563C1"/>
      <name val="Calibri"/>
    </font>
    <font>
      <sz val="9.0"/>
      <color rgb="FF000000"/>
      <name val="&quot;Google Sans Mono&quot;"/>
    </font>
    <font>
      <sz val="12.0"/>
      <color rgb="FF000000"/>
      <name val="Arial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/>
    <font>
      <b/>
      <sz val="12.0"/>
      <color theme="1"/>
      <name val="Arial"/>
      <scheme val="minor"/>
    </font>
    <font>
      <b/>
      <color rgb="FF000000"/>
      <name val="Arial"/>
      <scheme val="minor"/>
    </font>
    <font>
      <u/>
      <sz val="12.0"/>
      <color rgb="FF212529"/>
      <name val="System-ui"/>
    </font>
    <font>
      <u/>
      <sz val="12.0"/>
      <color rgb="FF212529"/>
      <name val="System-ui"/>
    </font>
    <font>
      <sz val="12.0"/>
      <color rgb="FF212529"/>
      <name val="System-ui"/>
    </font>
    <font>
      <b/>
      <color theme="1"/>
      <name val="Arial"/>
      <scheme val="minor"/>
    </font>
    <font>
      <b/>
      <u/>
      <sz val="12.0"/>
      <color rgb="FF212529"/>
      <name val="System-ui"/>
    </font>
    <font>
      <b/>
      <u/>
      <sz val="12.0"/>
      <color rgb="FF212529"/>
      <name val="System-ui"/>
    </font>
    <font>
      <b/>
      <sz val="12.0"/>
      <color rgb="FF212529"/>
      <name val="System-ui"/>
    </font>
    <font>
      <u/>
      <sz val="12.0"/>
      <color rgb="FF0000FF"/>
      <name val="System-ui"/>
    </font>
    <font>
      <u/>
      <sz val="12.0"/>
      <color rgb="FF0000FF"/>
      <name val="System-ui"/>
    </font>
    <font>
      <sz val="12.0"/>
      <color rgb="FF000000"/>
      <name val="System-ui"/>
    </font>
    <font>
      <sz val="12.0"/>
      <color theme="1"/>
      <name val="System-ui"/>
    </font>
    <font>
      <sz val="11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E39998"/>
        <bgColor rgb="FFE39998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3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textRotation="45" vertical="bottom" wrapText="0"/>
    </xf>
    <xf borderId="1" fillId="3" fontId="1" numFmtId="0" xfId="0" applyAlignment="1" applyBorder="1" applyFill="1" applyFont="1">
      <alignment horizontal="center" readingOrder="0" shrinkToFit="0" textRotation="45" vertical="bottom" wrapText="0"/>
    </xf>
    <xf borderId="2" fillId="2" fontId="1" numFmtId="0" xfId="0" applyAlignment="1" applyBorder="1" applyFont="1">
      <alignment horizontal="center" readingOrder="0" shrinkToFit="0" textRotation="45" vertical="bottom" wrapText="0"/>
    </xf>
    <xf borderId="1" fillId="2" fontId="1" numFmtId="0" xfId="0" applyAlignment="1" applyBorder="1" applyFont="1">
      <alignment horizontal="center" shrinkToFit="0" textRotation="45" vertical="bottom" wrapText="0"/>
    </xf>
    <xf borderId="3" fillId="2" fontId="1" numFmtId="0" xfId="0" applyAlignment="1" applyBorder="1" applyFont="1">
      <alignment readingOrder="0" shrinkToFit="0" textRotation="45" vertical="bottom" wrapText="0"/>
    </xf>
    <xf borderId="4" fillId="2" fontId="1" numFmtId="0" xfId="0" applyAlignment="1" applyBorder="1" applyFont="1">
      <alignment readingOrder="0" shrinkToFit="0" textRotation="45" vertical="bottom" wrapText="0"/>
    </xf>
    <xf borderId="5" fillId="2" fontId="1" numFmtId="0" xfId="0" applyAlignment="1" applyBorder="1" applyFont="1">
      <alignment readingOrder="0" shrinkToFit="0" textRotation="45" vertical="bottom" wrapText="0"/>
    </xf>
    <xf borderId="5" fillId="2" fontId="1" numFmtId="0" xfId="0" applyAlignment="1" applyBorder="1" applyFont="1">
      <alignment horizontal="center" readingOrder="0" shrinkToFit="0" textRotation="45" vertical="bottom" wrapText="0"/>
    </xf>
    <xf borderId="6" fillId="2" fontId="1" numFmtId="0" xfId="0" applyAlignment="1" applyBorder="1" applyFont="1">
      <alignment horizontal="center" readingOrder="0" shrinkToFit="0" textRotation="45" vertical="bottom" wrapText="0"/>
    </xf>
    <xf borderId="7" fillId="2" fontId="1" numFmtId="0" xfId="0" applyAlignment="1" applyBorder="1" applyFont="1">
      <alignment horizontal="center" readingOrder="0" shrinkToFit="0" textRotation="45" vertical="bottom" wrapText="0"/>
    </xf>
    <xf borderId="8" fillId="0" fontId="1" numFmtId="0" xfId="0" applyAlignment="1" applyBorder="1" applyFont="1">
      <alignment horizontal="center" readingOrder="0" shrinkToFit="0" textRotation="45" vertical="bottom" wrapText="0"/>
    </xf>
    <xf borderId="9" fillId="0" fontId="1" numFmtId="0" xfId="0" applyAlignment="1" applyBorder="1" applyFont="1">
      <alignment horizontal="center" readingOrder="0" shrinkToFit="0" textRotation="45" vertical="bottom" wrapText="0"/>
    </xf>
    <xf borderId="10" fillId="0" fontId="1" numFmtId="0" xfId="0" applyAlignment="1" applyBorder="1" applyFont="1">
      <alignment horizontal="center" readingOrder="0" shrinkToFit="0" textRotation="45" vertical="bottom" wrapText="0"/>
    </xf>
    <xf borderId="11" fillId="4" fontId="1" numFmtId="0" xfId="0" applyAlignment="1" applyBorder="1" applyFill="1" applyFont="1">
      <alignment horizontal="center" readingOrder="0" shrinkToFit="0" textRotation="45" vertical="bottom" wrapText="0"/>
    </xf>
    <xf borderId="12" fillId="4" fontId="1" numFmtId="0" xfId="0" applyAlignment="1" applyBorder="1" applyFont="1">
      <alignment horizontal="center" readingOrder="0" shrinkToFit="0" textRotation="45" vertical="bottom" wrapText="0"/>
    </xf>
    <xf borderId="2" fillId="4" fontId="1" numFmtId="1" xfId="0" applyAlignment="1" applyBorder="1" applyFont="1" applyNumberFormat="1">
      <alignment readingOrder="0" shrinkToFit="0" textRotation="45" vertical="bottom" wrapText="0"/>
    </xf>
    <xf borderId="2" fillId="4" fontId="1" numFmtId="0" xfId="0" applyAlignment="1" applyBorder="1" applyFont="1">
      <alignment readingOrder="0" shrinkToFit="0" textRotation="45" vertical="bottom" wrapText="0"/>
    </xf>
    <xf borderId="2" fillId="4" fontId="1" numFmtId="0" xfId="0" applyAlignment="1" applyBorder="1" applyFont="1">
      <alignment shrinkToFit="0" textRotation="45" vertical="bottom" wrapText="0"/>
    </xf>
    <xf borderId="1" fillId="5" fontId="2" numFmtId="1" xfId="0" applyAlignment="1" applyBorder="1" applyFill="1" applyFont="1" applyNumberFormat="1">
      <alignment horizontal="center" readingOrder="0"/>
    </xf>
    <xf borderId="13" fillId="5" fontId="2" numFmtId="1" xfId="0" applyAlignment="1" applyBorder="1" applyFont="1" applyNumberFormat="1">
      <alignment horizontal="center" readingOrder="0"/>
    </xf>
    <xf borderId="14" fillId="6" fontId="2" numFmtId="1" xfId="0" applyAlignment="1" applyBorder="1" applyFill="1" applyFont="1" applyNumberFormat="1">
      <alignment horizontal="center" readingOrder="0"/>
    </xf>
    <xf borderId="1" fillId="6" fontId="2" numFmtId="1" xfId="0" applyAlignment="1" applyBorder="1" applyFont="1" applyNumberFormat="1">
      <alignment horizontal="center" readingOrder="0"/>
    </xf>
    <xf borderId="15" fillId="5" fontId="2" numFmtId="1" xfId="0" applyAlignment="1" applyBorder="1" applyFont="1" applyNumberFormat="1">
      <alignment horizontal="center" readingOrder="0"/>
    </xf>
    <xf borderId="14" fillId="5" fontId="2" numFmtId="1" xfId="0" applyAlignment="1" applyBorder="1" applyFont="1" applyNumberFormat="1">
      <alignment horizontal="center" readingOrder="0"/>
    </xf>
    <xf borderId="14" fillId="5" fontId="3" numFmtId="1" xfId="0" applyAlignment="1" applyBorder="1" applyFont="1" applyNumberFormat="1">
      <alignment shrinkToFit="0" vertical="bottom" wrapText="0"/>
    </xf>
    <xf borderId="12" fillId="5" fontId="3" numFmtId="1" xfId="0" applyAlignment="1" applyBorder="1" applyFont="1" applyNumberFormat="1">
      <alignment shrinkToFit="0" vertical="bottom" wrapText="0"/>
    </xf>
    <xf borderId="1" fillId="7" fontId="2" numFmtId="1" xfId="0" applyAlignment="1" applyBorder="1" applyFill="1" applyFont="1" applyNumberFormat="1">
      <alignment horizontal="center" readingOrder="0"/>
    </xf>
    <xf borderId="13" fillId="7" fontId="2" numFmtId="1" xfId="0" applyAlignment="1" applyBorder="1" applyFont="1" applyNumberFormat="1">
      <alignment horizontal="center" readingOrder="0"/>
    </xf>
    <xf borderId="14" fillId="7" fontId="2" numFmtId="1" xfId="0" applyAlignment="1" applyBorder="1" applyFont="1" applyNumberFormat="1">
      <alignment horizontal="center" readingOrder="0"/>
    </xf>
    <xf borderId="15" fillId="7" fontId="2" numFmtId="1" xfId="0" applyAlignment="1" applyBorder="1" applyFont="1" applyNumberFormat="1">
      <alignment horizontal="center" readingOrder="0"/>
    </xf>
    <xf borderId="14" fillId="7" fontId="3" numFmtId="1" xfId="0" applyAlignment="1" applyBorder="1" applyFont="1" applyNumberFormat="1">
      <alignment shrinkToFit="0" vertical="bottom" wrapText="0"/>
    </xf>
    <xf borderId="12" fillId="7" fontId="3" numFmtId="1" xfId="0" applyAlignment="1" applyBorder="1" applyFont="1" applyNumberFormat="1">
      <alignment shrinkToFit="0" vertical="bottom" wrapText="0"/>
    </xf>
    <xf borderId="1" fillId="8" fontId="2" numFmtId="1" xfId="0" applyAlignment="1" applyBorder="1" applyFill="1" applyFont="1" applyNumberFormat="1">
      <alignment horizontal="center" readingOrder="0"/>
    </xf>
    <xf borderId="13" fillId="8" fontId="2" numFmtId="1" xfId="0" applyAlignment="1" applyBorder="1" applyFont="1" applyNumberFormat="1">
      <alignment horizontal="center" readingOrder="0"/>
    </xf>
    <xf borderId="14" fillId="8" fontId="2" numFmtId="1" xfId="0" applyAlignment="1" applyBorder="1" applyFont="1" applyNumberFormat="1">
      <alignment horizontal="center" readingOrder="0"/>
    </xf>
    <xf borderId="15" fillId="8" fontId="2" numFmtId="1" xfId="0" applyAlignment="1" applyBorder="1" applyFont="1" applyNumberFormat="1">
      <alignment horizontal="center" readingOrder="0"/>
    </xf>
    <xf borderId="14" fillId="8" fontId="3" numFmtId="1" xfId="0" applyAlignment="1" applyBorder="1" applyFont="1" applyNumberFormat="1">
      <alignment shrinkToFit="0" vertical="bottom" wrapText="0"/>
    </xf>
    <xf borderId="12" fillId="8" fontId="3" numFmtId="1" xfId="0" applyAlignment="1" applyBorder="1" applyFont="1" applyNumberFormat="1">
      <alignment shrinkToFit="0" vertical="bottom" wrapText="0"/>
    </xf>
    <xf borderId="16" fillId="9" fontId="4" numFmtId="164" xfId="0" applyAlignment="1" applyBorder="1" applyFill="1" applyFont="1" applyNumberFormat="1">
      <alignment horizontal="center" readingOrder="0" vertical="bottom"/>
    </xf>
    <xf borderId="17" fillId="9" fontId="5" numFmtId="0" xfId="0" applyAlignment="1" applyBorder="1" applyFont="1">
      <alignment horizontal="center" vertical="bottom"/>
    </xf>
    <xf borderId="16" fillId="9" fontId="6" numFmtId="0" xfId="0" applyAlignment="1" applyBorder="1" applyFont="1">
      <alignment horizontal="center" vertical="bottom"/>
    </xf>
    <xf borderId="0" fillId="9" fontId="6" numFmtId="0" xfId="0" applyAlignment="1" applyFont="1">
      <alignment horizontal="center" vertical="bottom"/>
    </xf>
    <xf borderId="0" fillId="9" fontId="7" numFmtId="0" xfId="0" applyAlignment="1" applyFont="1">
      <alignment vertical="bottom"/>
    </xf>
    <xf borderId="18" fillId="9" fontId="7" numFmtId="0" xfId="0" applyAlignment="1" applyBorder="1" applyFont="1">
      <alignment vertical="bottom"/>
    </xf>
    <xf borderId="19" fillId="9" fontId="6" numFmtId="0" xfId="0" applyAlignment="1" applyBorder="1" applyFont="1">
      <alignment horizontal="center" vertical="bottom"/>
    </xf>
    <xf borderId="0" fillId="0" fontId="6" numFmtId="0" xfId="0" applyAlignment="1" applyFont="1">
      <alignment horizontal="center" vertical="bottom"/>
    </xf>
    <xf borderId="20" fillId="0" fontId="6" numFmtId="0" xfId="0" applyAlignment="1" applyBorder="1" applyFont="1">
      <alignment horizontal="center" vertical="bottom"/>
    </xf>
    <xf borderId="16" fillId="0" fontId="6" numFmtId="0" xfId="0" applyAlignment="1" applyBorder="1" applyFont="1">
      <alignment horizontal="center" vertical="bottom"/>
    </xf>
    <xf borderId="21" fillId="9" fontId="7" numFmtId="0" xfId="0" applyAlignment="1" applyBorder="1" applyFont="1">
      <alignment vertical="bottom"/>
    </xf>
    <xf borderId="22" fillId="9" fontId="8" numFmtId="0" xfId="0" applyAlignment="1" applyBorder="1" applyFont="1">
      <alignment horizontal="center" vertical="bottom"/>
    </xf>
    <xf borderId="0" fillId="0" fontId="9" numFmtId="1" xfId="0" applyAlignment="1" applyFont="1" applyNumberFormat="1">
      <alignment horizontal="right" vertical="bottom"/>
    </xf>
    <xf borderId="20" fillId="0" fontId="10" numFmtId="1" xfId="0" applyAlignment="1" applyBorder="1" applyFont="1" applyNumberFormat="1">
      <alignment horizontal="right" vertical="bottom"/>
    </xf>
    <xf borderId="0" fillId="0" fontId="7" numFmtId="1" xfId="0" applyAlignment="1" applyFont="1" applyNumberFormat="1">
      <alignment vertical="bottom"/>
    </xf>
    <xf borderId="0" fillId="0" fontId="7" numFmtId="0" xfId="0" applyAlignment="1" applyFont="1">
      <alignment vertical="bottom"/>
    </xf>
    <xf borderId="16" fillId="9" fontId="6" numFmtId="0" xfId="0" applyAlignment="1" applyBorder="1" applyFont="1">
      <alignment horizontal="center" readingOrder="0" vertical="bottom"/>
    </xf>
    <xf borderId="0" fillId="9" fontId="6" numFmtId="0" xfId="0" applyAlignment="1" applyFont="1">
      <alignment horizontal="center" readingOrder="0" vertical="bottom"/>
    </xf>
    <xf borderId="0" fillId="9" fontId="7" numFmtId="0" xfId="0" applyAlignment="1" applyFont="1">
      <alignment readingOrder="0" vertical="bottom"/>
    </xf>
    <xf borderId="18" fillId="9" fontId="6" numFmtId="0" xfId="0" applyAlignment="1" applyBorder="1" applyFont="1">
      <alignment horizontal="center" vertical="bottom"/>
    </xf>
    <xf borderId="19" fillId="9" fontId="6" numFmtId="0" xfId="0" applyAlignment="1" applyBorder="1" applyFont="1">
      <alignment horizontal="center" readingOrder="0" vertical="bottom"/>
    </xf>
    <xf borderId="0" fillId="0" fontId="6" numFmtId="0" xfId="0" applyAlignment="1" applyFont="1">
      <alignment horizontal="center" readingOrder="0" vertical="bottom"/>
    </xf>
    <xf borderId="20" fillId="0" fontId="6" numFmtId="0" xfId="0" applyAlignment="1" applyBorder="1" applyFont="1">
      <alignment horizontal="center" readingOrder="0" vertical="bottom"/>
    </xf>
    <xf borderId="16" fillId="0" fontId="6" numFmtId="0" xfId="0" applyAlignment="1" applyBorder="1" applyFont="1">
      <alignment horizontal="center" readingOrder="0" vertical="bottom"/>
    </xf>
    <xf borderId="0" fillId="0" fontId="7" numFmtId="0" xfId="0" applyAlignment="1" applyFont="1">
      <alignment vertical="bottom"/>
    </xf>
    <xf borderId="18" fillId="9" fontId="6" numFmtId="0" xfId="0" applyAlignment="1" applyBorder="1" applyFont="1">
      <alignment horizontal="center" readingOrder="0" vertical="bottom"/>
    </xf>
    <xf borderId="0" fillId="0" fontId="7" numFmtId="0" xfId="0" applyAlignment="1" applyFont="1">
      <alignment readingOrder="0" vertical="bottom"/>
    </xf>
    <xf borderId="0" fillId="9" fontId="6" numFmtId="0" xfId="0" applyAlignment="1" applyFont="1">
      <alignment horizontal="center" readingOrder="0"/>
    </xf>
    <xf borderId="18" fillId="9" fontId="6" numFmtId="0" xfId="0" applyAlignment="1" applyBorder="1" applyFont="1">
      <alignment horizontal="center" readingOrder="0"/>
    </xf>
    <xf borderId="0" fillId="0" fontId="11" numFmtId="0" xfId="0" applyAlignment="1" applyFont="1">
      <alignment readingOrder="0"/>
    </xf>
    <xf borderId="16" fillId="9" fontId="12" numFmtId="164" xfId="0" applyAlignment="1" applyBorder="1" applyFont="1" applyNumberFormat="1">
      <alignment horizontal="center" readingOrder="0"/>
    </xf>
    <xf borderId="17" fillId="9" fontId="13" numFmtId="0" xfId="0" applyAlignment="1" applyBorder="1" applyFont="1">
      <alignment horizontal="center" readingOrder="0"/>
    </xf>
    <xf borderId="16" fillId="9" fontId="6" numFmtId="0" xfId="0" applyAlignment="1" applyBorder="1" applyFont="1">
      <alignment horizontal="center" readingOrder="0"/>
    </xf>
    <xf borderId="19" fillId="9" fontId="6" numFmtId="0" xfId="0" applyAlignment="1" applyBorder="1" applyFont="1">
      <alignment horizontal="center" readingOrder="0"/>
    </xf>
    <xf borderId="0" fillId="0" fontId="6" numFmtId="0" xfId="0" applyAlignment="1" applyFont="1">
      <alignment horizontal="center" readingOrder="0"/>
    </xf>
    <xf borderId="20" fillId="0" fontId="6" numFmtId="0" xfId="0" applyAlignment="1" applyBorder="1" applyFont="1">
      <alignment horizontal="center" readingOrder="0"/>
    </xf>
    <xf borderId="16" fillId="0" fontId="6" numFmtId="0" xfId="0" applyAlignment="1" applyBorder="1" applyFont="1">
      <alignment horizontal="center" readingOrder="0"/>
    </xf>
    <xf borderId="21" fillId="9" fontId="6" numFmtId="0" xfId="0" applyAlignment="1" applyBorder="1" applyFont="1">
      <alignment horizontal="center" readingOrder="0"/>
    </xf>
    <xf borderId="22" fillId="9" fontId="14" numFmtId="0" xfId="0" applyAlignment="1" applyBorder="1" applyFont="1">
      <alignment horizontal="center" readingOrder="0"/>
    </xf>
    <xf borderId="0" fillId="0" fontId="15" numFmtId="1" xfId="0" applyAlignment="1" applyFont="1" applyNumberFormat="1">
      <alignment shrinkToFit="0" vertical="bottom" wrapText="0"/>
    </xf>
    <xf borderId="20" fillId="0" fontId="16" numFmtId="1" xfId="0" applyAlignment="1" applyBorder="1" applyFont="1" applyNumberFormat="1">
      <alignment horizontal="right" readingOrder="0" shrinkToFit="0" vertical="bottom" wrapText="0"/>
    </xf>
    <xf borderId="0" fillId="0" fontId="3" numFmtId="1" xfId="0" applyAlignment="1" applyFont="1" applyNumberForma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1" numFmtId="0" xfId="0" applyFont="1"/>
    <xf borderId="17" fillId="9" fontId="17" numFmtId="164" xfId="0" applyAlignment="1" applyBorder="1" applyFont="1" applyNumberFormat="1">
      <alignment horizontal="center" readingOrder="0"/>
    </xf>
    <xf borderId="0" fillId="9" fontId="6" numFmtId="0" xfId="0" applyAlignment="1" applyFont="1">
      <alignment horizontal="center"/>
    </xf>
    <xf borderId="21" fillId="9" fontId="6" numFmtId="3" xfId="0" applyAlignment="1" applyBorder="1" applyFont="1" applyNumberFormat="1">
      <alignment horizontal="center" readingOrder="0"/>
    </xf>
    <xf borderId="0" fillId="0" fontId="11" numFmtId="3" xfId="0" applyFont="1" applyNumberFormat="1"/>
    <xf borderId="20" fillId="9" fontId="6" numFmtId="0" xfId="0" applyAlignment="1" applyBorder="1" applyFont="1">
      <alignment horizontal="center" readingOrder="0"/>
    </xf>
    <xf borderId="0" fillId="9" fontId="18" numFmtId="0" xfId="0" applyAlignment="1" applyFont="1">
      <alignment horizontal="left"/>
    </xf>
    <xf borderId="0" fillId="0" fontId="19" numFmtId="0" xfId="0" applyAlignment="1" applyFont="1">
      <alignment horizontal="center" readingOrder="0"/>
    </xf>
    <xf borderId="17" fillId="9" fontId="20" numFmtId="165" xfId="0" applyAlignment="1" applyBorder="1" applyFont="1" applyNumberFormat="1">
      <alignment horizontal="center" readingOrder="0"/>
    </xf>
    <xf borderId="0" fillId="9" fontId="14" numFmtId="0" xfId="0" applyAlignment="1" applyFont="1">
      <alignment horizontal="center" readingOrder="0"/>
    </xf>
    <xf borderId="0" fillId="0" fontId="14" numFmtId="0" xfId="0" applyAlignment="1" applyFont="1">
      <alignment horizontal="center" readingOrder="0"/>
    </xf>
    <xf borderId="20" fillId="0" fontId="14" numFmtId="0" xfId="0" applyAlignment="1" applyBorder="1" applyFont="1">
      <alignment horizontal="center" readingOrder="0"/>
    </xf>
    <xf borderId="16" fillId="0" fontId="14" numFmtId="0" xfId="0" applyAlignment="1" applyBorder="1" applyFont="1">
      <alignment horizontal="center" readingOrder="0"/>
    </xf>
    <xf borderId="21" fillId="9" fontId="14" numFmtId="0" xfId="0" applyAlignment="1" applyBorder="1" applyFont="1">
      <alignment horizontal="center" readingOrder="0"/>
    </xf>
    <xf borderId="20" fillId="9" fontId="14" numFmtId="0" xfId="0" applyAlignment="1" applyBorder="1" applyFont="1">
      <alignment horizontal="center" readingOrder="0"/>
    </xf>
    <xf borderId="19" fillId="9" fontId="14" numFmtId="0" xfId="0" applyAlignment="1" applyBorder="1" applyFont="1">
      <alignment horizontal="center" readingOrder="0"/>
    </xf>
    <xf borderId="0" fillId="9" fontId="14" numFmtId="0" xfId="0" applyAlignment="1" applyFont="1">
      <alignment horizontal="center"/>
    </xf>
    <xf borderId="16" fillId="9" fontId="13" numFmtId="0" xfId="0" applyAlignment="1" applyBorder="1" applyFont="1">
      <alignment horizontal="center" readingOrder="0"/>
    </xf>
    <xf borderId="0" fillId="9" fontId="13" numFmtId="0" xfId="0" applyAlignment="1" applyFont="1">
      <alignment horizontal="center" readingOrder="0"/>
    </xf>
    <xf borderId="18" fillId="9" fontId="13" numFmtId="0" xfId="0" applyAlignment="1" applyBorder="1" applyFont="1">
      <alignment horizontal="center" readingOrder="0"/>
    </xf>
    <xf borderId="22" fillId="9" fontId="13" numFmtId="0" xfId="0" applyAlignment="1" applyBorder="1" applyFont="1">
      <alignment horizontal="center" readingOrder="0"/>
    </xf>
    <xf borderId="3" fillId="9" fontId="14" numFmtId="0" xfId="0" applyAlignment="1" applyBorder="1" applyFont="1">
      <alignment horizontal="center"/>
    </xf>
    <xf borderId="3" fillId="9" fontId="21" numFmtId="0" xfId="0" applyAlignment="1" applyBorder="1" applyFont="1">
      <alignment horizontal="center"/>
    </xf>
    <xf borderId="0" fillId="9" fontId="22" numFmtId="0" xfId="0" applyAlignment="1" applyFont="1">
      <alignment horizontal="center"/>
    </xf>
    <xf borderId="23" fillId="9" fontId="23" numFmtId="0" xfId="0" applyAlignment="1" applyBorder="1" applyFont="1">
      <alignment horizontal="center"/>
    </xf>
    <xf borderId="3" fillId="9" fontId="14" numFmtId="0" xfId="0" applyAlignment="1" applyBorder="1" applyFont="1">
      <alignment horizontal="center" readingOrder="0"/>
    </xf>
    <xf borderId="22" fillId="0" fontId="14" numFmtId="0" xfId="0" applyAlignment="1" applyBorder="1" applyFont="1">
      <alignment horizontal="center" readingOrder="0"/>
    </xf>
    <xf borderId="24" fillId="0" fontId="14" numFmtId="0" xfId="0" applyAlignment="1" applyBorder="1" applyFont="1">
      <alignment horizontal="center" readingOrder="0"/>
    </xf>
    <xf borderId="3" fillId="0" fontId="14" numFmtId="0" xfId="0" applyAlignment="1" applyBorder="1" applyFont="1">
      <alignment horizontal="center" readingOrder="0"/>
    </xf>
    <xf borderId="25" fillId="9" fontId="14" numFmtId="0" xfId="0" applyAlignment="1" applyBorder="1" applyFont="1">
      <alignment horizontal="center" readingOrder="0"/>
    </xf>
    <xf borderId="22" fillId="9" fontId="24" numFmtId="0" xfId="0" applyAlignment="1" applyBorder="1" applyFont="1">
      <alignment horizontal="center"/>
    </xf>
    <xf borderId="24" fillId="9" fontId="25" numFmtId="0" xfId="0" applyAlignment="1" applyBorder="1" applyFont="1">
      <alignment horizontal="center"/>
    </xf>
    <xf borderId="22" fillId="9" fontId="13" numFmtId="0" xfId="0" applyAlignment="1" applyBorder="1" applyFont="1">
      <alignment horizontal="center"/>
    </xf>
    <xf borderId="22" fillId="9" fontId="13" numFmtId="0" xfId="0" applyAlignment="1" applyBorder="1" applyFont="1">
      <alignment horizontal="center"/>
    </xf>
    <xf borderId="22" fillId="0" fontId="15" numFmtId="0" xfId="0" applyAlignment="1" applyBorder="1" applyFont="1">
      <alignment shrinkToFit="0" vertical="bottom" wrapText="0"/>
    </xf>
    <xf borderId="20" fillId="0" fontId="15" numFmtId="0" xfId="0" applyAlignment="1" applyBorder="1" applyFont="1">
      <alignment shrinkToFit="0" vertical="bottom" wrapText="0"/>
    </xf>
    <xf borderId="20" fillId="9" fontId="13" numFmtId="0" xfId="0" applyAlignment="1" applyBorder="1" applyFont="1">
      <alignment horizontal="center" readingOrder="0"/>
    </xf>
    <xf borderId="22" fillId="0" fontId="15" numFmtId="0" xfId="0" applyAlignment="1" applyBorder="1" applyFont="1">
      <alignment shrinkToFit="0" vertical="bottom" wrapText="0"/>
    </xf>
    <xf borderId="20" fillId="9" fontId="2" numFmtId="0" xfId="0" applyAlignment="1" applyBorder="1" applyFont="1">
      <alignment horizontal="center" readingOrder="0"/>
    </xf>
    <xf borderId="20" fillId="0" fontId="15" numFmtId="0" xfId="0" applyAlignment="1" applyBorder="1" applyFont="1">
      <alignment shrinkToFit="0" vertical="bottom" wrapText="0"/>
    </xf>
    <xf borderId="18" fillId="9" fontId="26" numFmtId="0" xfId="0" applyAlignment="1" applyBorder="1" applyFont="1">
      <alignment horizontal="center"/>
    </xf>
    <xf borderId="20" fillId="9" fontId="27" numFmtId="0" xfId="0" applyAlignment="1" applyBorder="1" applyFont="1">
      <alignment horizontal="center"/>
    </xf>
    <xf borderId="0" fillId="9" fontId="2" numFmtId="0" xfId="0" applyAlignment="1" applyFont="1">
      <alignment horizontal="center" readingOrder="0"/>
    </xf>
    <xf borderId="19" fillId="9" fontId="2" numFmtId="0" xfId="0" applyAlignment="1" applyBorder="1" applyFont="1">
      <alignment horizontal="center" readingOrder="0"/>
    </xf>
    <xf borderId="20" fillId="0" fontId="2" numFmtId="0" xfId="0" applyAlignment="1" applyBorder="1" applyFont="1">
      <alignment horizontal="center" readingOrder="0"/>
    </xf>
    <xf borderId="26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21" fillId="9" fontId="2" numFmtId="0" xfId="0" applyAlignment="1" applyBorder="1" applyFont="1">
      <alignment horizontal="center" readingOrder="0"/>
    </xf>
    <xf borderId="26" fillId="0" fontId="14" numFmtId="0" xfId="0" applyAlignment="1" applyBorder="1" applyFont="1">
      <alignment horizontal="center" readingOrder="0"/>
    </xf>
    <xf borderId="16" fillId="0" fontId="11" numFmtId="165" xfId="0" applyBorder="1" applyFont="1" applyNumberFormat="1"/>
    <xf borderId="16" fillId="0" fontId="11" numFmtId="0" xfId="0" applyBorder="1" applyFont="1"/>
    <xf borderId="18" fillId="0" fontId="11" numFmtId="0" xfId="0" applyBorder="1" applyFont="1"/>
    <xf borderId="20" fillId="0" fontId="11" numFmtId="0" xfId="0" applyBorder="1" applyFont="1"/>
    <xf borderId="19" fillId="0" fontId="11" numFmtId="0" xfId="0" applyBorder="1" applyFont="1"/>
    <xf borderId="21" fillId="0" fontId="11" numFmtId="0" xfId="0" applyBorder="1" applyFont="1"/>
    <xf borderId="0" fillId="0" fontId="11" numFmtId="1" xfId="0" applyFont="1" applyNumberFormat="1"/>
    <xf borderId="17" fillId="0" fontId="11" numFmtId="165" xfId="0" applyBorder="1" applyFont="1" applyNumberFormat="1"/>
    <xf borderId="17" fillId="0" fontId="11" numFmtId="0" xfId="0" applyBorder="1" applyFont="1"/>
    <xf borderId="3" fillId="0" fontId="11" numFmtId="0" xfId="0" applyBorder="1" applyFont="1"/>
    <xf borderId="27" fillId="0" fontId="11" numFmtId="0" xfId="0" applyBorder="1" applyFont="1"/>
    <xf borderId="28" fillId="0" fontId="11" numFmtId="0" xfId="0" applyBorder="1" applyFont="1"/>
    <xf borderId="29" fillId="0" fontId="11" numFmtId="0" xfId="0" applyBorder="1" applyFont="1"/>
    <xf borderId="30" fillId="0" fontId="11" numFmtId="0" xfId="0" applyBorder="1" applyFont="1"/>
    <xf borderId="31" fillId="0" fontId="11" numFmtId="0" xfId="0" applyBorder="1" applyFont="1"/>
    <xf borderId="32" fillId="0" fontId="11" numFmtId="0" xfId="0" applyBorder="1" applyFont="1"/>
    <xf borderId="33" fillId="0" fontId="11" numFmtId="0" xfId="0" applyBorder="1" applyFont="1"/>
    <xf borderId="34" fillId="0" fontId="11" numFmtId="0" xfId="0" applyBorder="1" applyFont="1"/>
    <xf borderId="0" fillId="0" fontId="11" numFmtId="0" xfId="0" applyAlignment="1" applyFont="1">
      <alignment shrinkToFit="0" textRotation="0" wrapText="1"/>
    </xf>
    <xf borderId="0" fillId="0" fontId="11" numFmtId="0" xfId="0" applyAlignment="1" applyFont="1">
      <alignment shrinkToFit="0" textRotation="90" wrapText="1"/>
    </xf>
    <xf borderId="0" fillId="0" fontId="11" numFmtId="0" xfId="0" applyAlignment="1" applyFont="1">
      <alignment readingOrder="0" shrinkToFit="0" textRotation="90" wrapText="1"/>
    </xf>
    <xf borderId="0" fillId="0" fontId="11" numFmtId="0" xfId="0" applyAlignment="1" applyFont="1">
      <alignment shrinkToFit="0" wrapText="1"/>
    </xf>
    <xf borderId="35" fillId="0" fontId="11" numFmtId="166" xfId="0" applyAlignment="1" applyBorder="1" applyFont="1" applyNumberFormat="1">
      <alignment readingOrder="0" shrinkToFit="0" vertical="center" wrapText="1"/>
    </xf>
    <xf borderId="36" fillId="0" fontId="11" numFmtId="0" xfId="0" applyAlignment="1" applyBorder="1" applyFont="1">
      <alignment readingOrder="0" shrinkToFit="0" wrapText="1"/>
    </xf>
    <xf borderId="36" fillId="0" fontId="11" numFmtId="0" xfId="0" applyAlignment="1" applyBorder="1" applyFont="1">
      <alignment shrinkToFit="0" wrapText="1"/>
    </xf>
    <xf borderId="37" fillId="0" fontId="11" numFmtId="0" xfId="0" applyAlignment="1" applyBorder="1" applyFont="1">
      <alignment shrinkToFit="0" wrapText="1"/>
    </xf>
    <xf borderId="16" fillId="0" fontId="28" numFmtId="0" xfId="0" applyBorder="1" applyFont="1"/>
    <xf borderId="0" fillId="0" fontId="11" numFmtId="0" xfId="0" applyAlignment="1" applyFont="1">
      <alignment readingOrder="0" shrinkToFit="0" wrapText="1"/>
    </xf>
    <xf borderId="20" fillId="0" fontId="11" numFmtId="0" xfId="0" applyAlignment="1" applyBorder="1" applyFont="1">
      <alignment shrinkToFit="0" wrapText="1"/>
    </xf>
    <xf borderId="17" fillId="0" fontId="28" numFmtId="0" xfId="0" applyBorder="1" applyFont="1"/>
    <xf borderId="3" fillId="0" fontId="11" numFmtId="167" xfId="0" applyAlignment="1" applyBorder="1" applyFont="1" applyNumberFormat="1">
      <alignment readingOrder="0" shrinkToFit="0" wrapText="1"/>
    </xf>
    <xf borderId="3" fillId="0" fontId="11" numFmtId="167" xfId="0" applyAlignment="1" applyBorder="1" applyFont="1" applyNumberFormat="1">
      <alignment shrinkToFit="0" wrapText="1"/>
    </xf>
    <xf borderId="22" fillId="0" fontId="11" numFmtId="167" xfId="0" applyAlignment="1" applyBorder="1" applyFont="1" applyNumberFormat="1">
      <alignment shrinkToFit="0" wrapText="1"/>
    </xf>
    <xf borderId="0" fillId="0" fontId="11" numFmtId="164" xfId="0" applyAlignment="1" applyFont="1" applyNumberFormat="1">
      <alignment readingOrder="0"/>
    </xf>
    <xf borderId="0" fillId="0" fontId="11" numFmtId="20" xfId="0" applyAlignment="1" applyFont="1" applyNumberFormat="1">
      <alignment readingOrder="0"/>
    </xf>
    <xf borderId="0" fillId="0" fontId="11" numFmtId="46" xfId="0" applyAlignment="1" applyFont="1" applyNumberFormat="1">
      <alignment readingOrder="0"/>
    </xf>
    <xf borderId="0" fillId="0" fontId="29" numFmtId="164" xfId="0" applyAlignment="1" applyFont="1" applyNumberFormat="1">
      <alignment readingOrder="0"/>
    </xf>
    <xf borderId="0" fillId="0" fontId="29" numFmtId="0" xfId="0" applyAlignment="1" applyFont="1">
      <alignment readingOrder="0"/>
    </xf>
    <xf borderId="0" fillId="0" fontId="29" numFmtId="20" xfId="0" applyAlignment="1" applyFont="1" applyNumberFormat="1">
      <alignment readingOrder="0"/>
    </xf>
    <xf borderId="0" fillId="0" fontId="29" numFmtId="46" xfId="0" applyAlignment="1" applyFont="1" applyNumberFormat="1">
      <alignment readingOrder="0"/>
    </xf>
    <xf borderId="0" fillId="0" fontId="29" numFmtId="0" xfId="0" applyFont="1"/>
    <xf borderId="0" fillId="0" fontId="30" numFmtId="0" xfId="0" applyAlignment="1" applyFont="1">
      <alignment readingOrder="0"/>
    </xf>
    <xf borderId="0" fillId="0" fontId="31" numFmtId="164" xfId="0" applyAlignment="1" applyFont="1" applyNumberFormat="1">
      <alignment readingOrder="0" vertical="bottom"/>
    </xf>
    <xf borderId="0" fillId="0" fontId="32" numFmtId="0" xfId="0" applyAlignment="1" applyFont="1">
      <alignment readingOrder="0" vertical="bottom"/>
    </xf>
    <xf borderId="0" fillId="9" fontId="33" numFmtId="0" xfId="0" applyAlignment="1" applyFont="1">
      <alignment horizontal="center" readingOrder="0" vertical="bottom"/>
    </xf>
    <xf borderId="0" fillId="9" fontId="33" numFmtId="0" xfId="0" applyAlignment="1" applyFont="1">
      <alignment readingOrder="0" vertical="bottom"/>
    </xf>
    <xf borderId="0" fillId="9" fontId="33" numFmtId="20" xfId="0" applyAlignment="1" applyFont="1" applyNumberFormat="1">
      <alignment readingOrder="0" vertical="bottom"/>
    </xf>
    <xf borderId="0" fillId="9" fontId="33" numFmtId="46" xfId="0" applyAlignment="1" applyFont="1" applyNumberFormat="1">
      <alignment readingOrder="0" vertical="bottom"/>
    </xf>
    <xf borderId="0" fillId="9" fontId="33" numFmtId="0" xfId="0" applyAlignment="1" applyFont="1">
      <alignment vertical="bottom"/>
    </xf>
    <xf borderId="0" fillId="10" fontId="34" numFmtId="164" xfId="0" applyAlignment="1" applyFill="1" applyFont="1" applyNumberFormat="1">
      <alignment readingOrder="0"/>
    </xf>
    <xf borderId="0" fillId="10" fontId="34" numFmtId="0" xfId="0" applyAlignment="1" applyFont="1">
      <alignment readingOrder="0"/>
    </xf>
    <xf borderId="0" fillId="10" fontId="34" numFmtId="20" xfId="0" applyAlignment="1" applyFont="1" applyNumberFormat="1">
      <alignment readingOrder="0"/>
    </xf>
    <xf borderId="0" fillId="10" fontId="34" numFmtId="46" xfId="0" applyAlignment="1" applyFont="1" applyNumberFormat="1">
      <alignment readingOrder="0"/>
    </xf>
    <xf borderId="0" fillId="10" fontId="34" numFmtId="0" xfId="0" applyFont="1"/>
    <xf borderId="0" fillId="10" fontId="35" numFmtId="164" xfId="0" applyAlignment="1" applyFont="1" applyNumberFormat="1">
      <alignment readingOrder="0" vertical="bottom"/>
    </xf>
    <xf borderId="0" fillId="10" fontId="36" numFmtId="0" xfId="0" applyAlignment="1" applyFont="1">
      <alignment readingOrder="0" vertical="bottom"/>
    </xf>
    <xf borderId="0" fillId="10" fontId="37" numFmtId="0" xfId="0" applyAlignment="1" applyFont="1">
      <alignment horizontal="center" readingOrder="0" vertical="bottom"/>
    </xf>
    <xf borderId="0" fillId="10" fontId="37" numFmtId="0" xfId="0" applyAlignment="1" applyFont="1">
      <alignment readingOrder="0" vertical="bottom"/>
    </xf>
    <xf borderId="0" fillId="10" fontId="37" numFmtId="20" xfId="0" applyAlignment="1" applyFont="1" applyNumberFormat="1">
      <alignment readingOrder="0" vertical="bottom"/>
    </xf>
    <xf borderId="0" fillId="10" fontId="37" numFmtId="46" xfId="0" applyAlignment="1" applyFont="1" applyNumberFormat="1">
      <alignment readingOrder="0" vertical="bottom"/>
    </xf>
    <xf borderId="3" fillId="0" fontId="38" numFmtId="164" xfId="0" applyAlignment="1" applyBorder="1" applyFont="1" applyNumberFormat="1">
      <alignment readingOrder="0" vertical="bottom"/>
    </xf>
    <xf borderId="3" fillId="0" fontId="39" numFmtId="0" xfId="0" applyAlignment="1" applyBorder="1" applyFont="1">
      <alignment readingOrder="0" vertical="bottom"/>
    </xf>
    <xf borderId="3" fillId="9" fontId="40" numFmtId="0" xfId="0" applyAlignment="1" applyBorder="1" applyFont="1">
      <alignment horizontal="center" readingOrder="0" vertical="bottom"/>
    </xf>
    <xf borderId="3" fillId="9" fontId="40" numFmtId="0" xfId="0" applyAlignment="1" applyBorder="1" applyFont="1">
      <alignment readingOrder="0" vertical="bottom"/>
    </xf>
    <xf borderId="3" fillId="9" fontId="40" numFmtId="20" xfId="0" applyAlignment="1" applyBorder="1" applyFont="1" applyNumberFormat="1">
      <alignment readingOrder="0" vertical="bottom"/>
    </xf>
    <xf borderId="3" fillId="9" fontId="40" numFmtId="46" xfId="0" applyAlignment="1" applyBorder="1" applyFont="1" applyNumberFormat="1">
      <alignment readingOrder="0" vertical="bottom"/>
    </xf>
    <xf borderId="3" fillId="9" fontId="19" numFmtId="0" xfId="0" applyAlignment="1" applyBorder="1" applyFont="1">
      <alignment horizontal="center" readingOrder="0" vertical="bottom"/>
    </xf>
    <xf borderId="3" fillId="0" fontId="41" numFmtId="164" xfId="0" applyAlignment="1" applyBorder="1" applyFont="1" applyNumberFormat="1">
      <alignment readingOrder="0" vertical="bottom"/>
    </xf>
    <xf borderId="3" fillId="0" fontId="41" numFmtId="0" xfId="0" applyAlignment="1" applyBorder="1" applyFont="1">
      <alignment readingOrder="0" vertical="bottom"/>
    </xf>
    <xf borderId="0" fillId="0" fontId="11" numFmtId="3" xfId="0" applyAlignment="1" applyFont="1" applyNumberFormat="1">
      <alignment readingOrder="0"/>
    </xf>
    <xf borderId="0" fillId="0" fontId="34" numFmtId="0" xfId="0" applyFont="1"/>
    <xf borderId="0" fillId="0" fontId="42" numFmtId="0" xfId="0" applyAlignment="1" applyFont="1">
      <alignment horizontal="left" readingOrder="0" shrinkToFit="0" wrapText="1"/>
    </xf>
    <xf borderId="0" fillId="0" fontId="11" numFmtId="1" xfId="0" applyAlignment="1" applyFont="1" applyNumberFormat="1">
      <alignment readingOrder="0"/>
    </xf>
    <xf borderId="0" fillId="0" fontId="1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Кузьминки/110 относительно параметра "Дата/СРЕДНЕЕ"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'ОСНОВА'!$E$1:$E$2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>Линия тренда (110)</c:name>
            <c:spPr>
              <a:ln w="38100">
                <a:solidFill>
                  <a:srgbClr val="FF00FF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'ОСНОВА'!$A$3:$A$1178</c:f>
            </c:strRef>
          </c:cat>
          <c:val>
            <c:numRef>
              <c:f>'ОСНОВА'!$E$3:$E$1178</c:f>
              <c:numCache/>
            </c:numRef>
          </c:val>
          <c:smooth val="1"/>
        </c:ser>
        <c:axId val="698997510"/>
        <c:axId val="63080379"/>
      </c:lineChart>
      <c:catAx>
        <c:axId val="6989975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Дата/СРЕДНЕЕ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080379"/>
      </c:catAx>
      <c:valAx>
        <c:axId val="630803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Кузьминки/110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89975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Участники С95 Кузьминки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rgbClr val="351C75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'Кузьминки'!$A$1:$A$4</c:f>
            </c:strRef>
          </c:cat>
          <c:val>
            <c:numRef>
              <c:f>'Кузьминки'!$C$1:$C$4</c:f>
              <c:numCache/>
            </c:numRef>
          </c:val>
        </c:ser>
        <c:ser>
          <c:idx val="1"/>
          <c:order val="1"/>
          <c:spPr>
            <a:solidFill>
              <a:srgbClr val="FF00FF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Lbls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sz="18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'Кузьминки'!$A$1:$A$4</c:f>
            </c:strRef>
          </c:cat>
          <c:val>
            <c:numRef>
              <c:f>'Кузьминки'!$D$1:$D$4</c:f>
              <c:numCache/>
            </c:numRef>
          </c:val>
        </c:ser>
        <c:overlap val="100"/>
        <c:axId val="950416615"/>
        <c:axId val="1202008512"/>
      </c:barChart>
      <c:catAx>
        <c:axId val="9504166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+mn-lt"/>
              </a:defRPr>
            </a:pPr>
          </a:p>
        </c:txPr>
        <c:crossAx val="1202008512"/>
      </c:catAx>
      <c:valAx>
        <c:axId val="1202008512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0416615"/>
      </c:valAx>
    </c:plotArea>
    <c:plotVisOnly val="1"/>
  </c:chart>
  <c:spPr>
    <a:solidFill>
      <a:srgbClr val="EFEFE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Суммарный километраж IzMy5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rgbClr val="351C75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'измайлово'!$A$1:$A$4</c:f>
            </c:strRef>
          </c:cat>
          <c:val>
            <c:numRef>
              <c:f>'измайлово'!$C$1:$C$4</c:f>
              <c:numCache/>
            </c:numRef>
          </c:val>
        </c:ser>
        <c:ser>
          <c:idx val="1"/>
          <c:order val="1"/>
          <c:spPr>
            <a:solidFill>
              <a:srgbClr val="FF00FF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Lbls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sz="18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'измайлово'!$A$1:$A$4</c:f>
            </c:strRef>
          </c:cat>
          <c:val>
            <c:numRef>
              <c:f>'измайлово'!$D$1:$D$4</c:f>
              <c:numCache/>
            </c:numRef>
          </c:val>
        </c:ser>
        <c:overlap val="100"/>
        <c:axId val="5723172"/>
        <c:axId val="383262325"/>
      </c:barChart>
      <c:catAx>
        <c:axId val="57231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+mn-lt"/>
              </a:defRPr>
            </a:pPr>
          </a:p>
        </c:txPr>
        <c:crossAx val="383262325"/>
      </c:catAx>
      <c:valAx>
        <c:axId val="383262325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23172"/>
      </c:valAx>
    </c:plotArea>
    <c:plotVisOnly val="1"/>
  </c:chart>
  <c:spPr>
    <a:solidFill>
      <a:srgbClr val="EFEFE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Суммарный километраж C95 Царицыно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rgbClr val="351C75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'царицыно'!$A$1:$A$4</c:f>
            </c:strRef>
          </c:cat>
          <c:val>
            <c:numRef>
              <c:f>'царицыно'!$C$1:$C$4</c:f>
              <c:numCache/>
            </c:numRef>
          </c:val>
        </c:ser>
        <c:ser>
          <c:idx val="1"/>
          <c:order val="1"/>
          <c:spPr>
            <a:solidFill>
              <a:srgbClr val="FF00FF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Lbls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sz="18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'царицыно'!$A$1:$A$4</c:f>
            </c:strRef>
          </c:cat>
          <c:val>
            <c:numRef>
              <c:f>'царицыно'!$D$1:$D$4</c:f>
              <c:numCache/>
            </c:numRef>
          </c:val>
        </c:ser>
        <c:overlap val="100"/>
        <c:axId val="1454250902"/>
        <c:axId val="1877664976"/>
      </c:barChart>
      <c:catAx>
        <c:axId val="14542509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+mn-lt"/>
              </a:defRPr>
            </a:pPr>
          </a:p>
        </c:txPr>
        <c:crossAx val="1877664976"/>
      </c:catAx>
      <c:valAx>
        <c:axId val="1877664976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4250902"/>
      </c:valAx>
    </c:plotArea>
    <c:plotVisOnly val="1"/>
  </c:chart>
  <c:spPr>
    <a:solidFill>
      <a:srgbClr val="EFEFE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Суммарный километраж C95 Кусково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rgbClr val="351C75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'кусково'!$A$1:$A$4</c:f>
            </c:strRef>
          </c:cat>
          <c:val>
            <c:numRef>
              <c:f>'кусково'!$C$1:$C$4</c:f>
              <c:numCache/>
            </c:numRef>
          </c:val>
        </c:ser>
        <c:ser>
          <c:idx val="1"/>
          <c:order val="1"/>
          <c:spPr>
            <a:solidFill>
              <a:srgbClr val="FF00FF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Lbls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sz="18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'кусково'!$A$1:$A$4</c:f>
            </c:strRef>
          </c:cat>
          <c:val>
            <c:numRef>
              <c:f>'кусково'!$D$1:$D$4</c:f>
              <c:numCache/>
            </c:numRef>
          </c:val>
        </c:ser>
        <c:overlap val="100"/>
        <c:axId val="1531438807"/>
        <c:axId val="1483055660"/>
      </c:barChart>
      <c:catAx>
        <c:axId val="15314388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+mn-lt"/>
              </a:defRPr>
            </a:pPr>
          </a:p>
        </c:txPr>
        <c:crossAx val="1483055660"/>
      </c:catAx>
      <c:valAx>
        <c:axId val="1483055660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1438807"/>
      </c:valAx>
    </c:plotArea>
    <c:plotVisOnly val="1"/>
  </c:chart>
  <c:spPr>
    <a:solidFill>
      <a:srgbClr val="EFEFE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Суммарный километраж C95 Троицк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rgbClr val="351C75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'Троицк'!$A$1:$A$4</c:f>
            </c:strRef>
          </c:cat>
          <c:val>
            <c:numRef>
              <c:f>'Троицк'!$C$1:$C$4</c:f>
              <c:numCache/>
            </c:numRef>
          </c:val>
        </c:ser>
        <c:ser>
          <c:idx val="1"/>
          <c:order val="1"/>
          <c:spPr>
            <a:solidFill>
              <a:srgbClr val="FF00FF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Lbls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sz="18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'Троицк'!$A$1:$A$4</c:f>
            </c:strRef>
          </c:cat>
          <c:val>
            <c:numRef>
              <c:f>'Троицк'!$D$1:$D$4</c:f>
              <c:numCache/>
            </c:numRef>
          </c:val>
        </c:ser>
        <c:overlap val="100"/>
        <c:axId val="1439411276"/>
        <c:axId val="1794485509"/>
      </c:barChart>
      <c:catAx>
        <c:axId val="14394112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+mn-lt"/>
              </a:defRPr>
            </a:pPr>
          </a:p>
        </c:txPr>
        <c:crossAx val="1794485509"/>
      </c:catAx>
      <c:valAx>
        <c:axId val="1794485509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9411276"/>
      </c:valAx>
    </c:plotArea>
    <c:plotVisOnly val="1"/>
  </c:chart>
  <c:spPr>
    <a:solidFill>
      <a:srgbClr val="EFEFE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Суммарный километраж C95 Пристань Печатники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rgbClr val="351C75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'Печатники'!$A$1:$A$4</c:f>
            </c:strRef>
          </c:cat>
          <c:val>
            <c:numRef>
              <c:f>'Печатники'!$C$1:$C$4</c:f>
              <c:numCache/>
            </c:numRef>
          </c:val>
        </c:ser>
        <c:ser>
          <c:idx val="1"/>
          <c:order val="1"/>
          <c:spPr>
            <a:solidFill>
              <a:srgbClr val="FF00FF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Lbls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sz="18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'Печатники'!$A$1:$A$4</c:f>
            </c:strRef>
          </c:cat>
          <c:val>
            <c:numRef>
              <c:f>'Печатники'!$D$1:$D$4</c:f>
              <c:numCache/>
            </c:numRef>
          </c:val>
        </c:ser>
        <c:overlap val="100"/>
        <c:axId val="1832133018"/>
        <c:axId val="2062177328"/>
      </c:barChart>
      <c:catAx>
        <c:axId val="18321330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+mn-lt"/>
              </a:defRPr>
            </a:pPr>
          </a:p>
        </c:txPr>
        <c:crossAx val="2062177328"/>
      </c:catAx>
      <c:valAx>
        <c:axId val="206217732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2133018"/>
      </c:valAx>
    </c:plotArea>
    <c:plotVisOnly val="1"/>
  </c:chart>
  <c:spPr>
    <a:solidFill>
      <a:srgbClr val="EFEFE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Число финишей на С95 Иваново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rgbClr val="351C75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'Иваново'!$A$1:$A$4</c:f>
            </c:strRef>
          </c:cat>
          <c:val>
            <c:numRef>
              <c:f>'Иваново'!$C$1:$C$4</c:f>
              <c:numCache/>
            </c:numRef>
          </c:val>
        </c:ser>
        <c:ser>
          <c:idx val="1"/>
          <c:order val="1"/>
          <c:spPr>
            <a:solidFill>
              <a:srgbClr val="FF00FF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Lbls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sz="18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'Иваново'!$A$1:$A$4</c:f>
            </c:strRef>
          </c:cat>
          <c:val>
            <c:numRef>
              <c:f>'Иваново'!$D$1:$D$4</c:f>
              <c:numCache/>
            </c:numRef>
          </c:val>
        </c:ser>
        <c:overlap val="100"/>
        <c:axId val="1156555955"/>
        <c:axId val="1204557853"/>
      </c:barChart>
      <c:catAx>
        <c:axId val="11565559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+mn-lt"/>
              </a:defRPr>
            </a:pPr>
          </a:p>
        </c:txPr>
        <c:crossAx val="1204557853"/>
      </c:catAx>
      <c:valAx>
        <c:axId val="1204557853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6555955"/>
      </c:valAx>
    </c:plotArea>
    <c:plotVisOnly val="1"/>
  </c:chart>
  <c:spPr>
    <a:solidFill>
      <a:srgbClr val="EFEFE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Среднее число участников по РФ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rgbClr val="351C75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'среднее по РФ'!$B$1:$B$4</c:f>
              <c:numCache/>
            </c:numRef>
          </c:val>
        </c:ser>
        <c:overlap val="100"/>
        <c:axId val="1198936494"/>
        <c:axId val="341672676"/>
      </c:barChart>
      <c:catAx>
        <c:axId val="11989364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Arial"/>
              </a:defRPr>
            </a:pPr>
          </a:p>
        </c:txPr>
        <c:crossAx val="341672676"/>
      </c:catAx>
      <c:valAx>
        <c:axId val="341672676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8936494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43</xdr:col>
      <xdr:colOff>457200</xdr:colOff>
      <xdr:row>140</xdr:row>
      <xdr:rowOff>123825</xdr:rowOff>
    </xdr:from>
    <xdr:ext cx="12125325" cy="108108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685800</xdr:colOff>
      <xdr:row>4</xdr:row>
      <xdr:rowOff>28575</xdr:rowOff>
    </xdr:from>
    <xdr:ext cx="6915150" cy="553402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685800</xdr:colOff>
      <xdr:row>4</xdr:row>
      <xdr:rowOff>28575</xdr:rowOff>
    </xdr:from>
    <xdr:ext cx="6915150" cy="553402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685800</xdr:colOff>
      <xdr:row>4</xdr:row>
      <xdr:rowOff>28575</xdr:rowOff>
    </xdr:from>
    <xdr:ext cx="6915150" cy="5534025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685800</xdr:colOff>
      <xdr:row>4</xdr:row>
      <xdr:rowOff>28575</xdr:rowOff>
    </xdr:from>
    <xdr:ext cx="6915150" cy="5534025"/>
    <xdr:graphicFrame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685800</xdr:colOff>
      <xdr:row>4</xdr:row>
      <xdr:rowOff>28575</xdr:rowOff>
    </xdr:from>
    <xdr:ext cx="6915150" cy="5534025"/>
    <xdr:graphicFrame>
      <xdr:nvGraphicFramePr>
        <xdr:cNvPr id="6" name="Chart 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685800</xdr:colOff>
      <xdr:row>4</xdr:row>
      <xdr:rowOff>28575</xdr:rowOff>
    </xdr:from>
    <xdr:ext cx="6915150" cy="5534025"/>
    <xdr:graphicFrame>
      <xdr:nvGraphicFramePr>
        <xdr:cNvPr id="7" name="Chart 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685800</xdr:colOff>
      <xdr:row>4</xdr:row>
      <xdr:rowOff>28575</xdr:rowOff>
    </xdr:from>
    <xdr:ext cx="6915150" cy="5534025"/>
    <xdr:graphicFrame>
      <xdr:nvGraphicFramePr>
        <xdr:cNvPr id="8" name="Chart 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323850</xdr:colOff>
      <xdr:row>0</xdr:row>
      <xdr:rowOff>38100</xdr:rowOff>
    </xdr:from>
    <xdr:ext cx="6915150" cy="5534025"/>
    <xdr:graphicFrame>
      <xdr:nvGraphicFramePr>
        <xdr:cNvPr id="9" name="Chart 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95.ru/activities/124" TargetMode="External"/><Relationship Id="rId42" Type="http://schemas.openxmlformats.org/officeDocument/2006/relationships/hyperlink" Target="https://s95.ru/activities/122" TargetMode="External"/><Relationship Id="rId41" Type="http://schemas.openxmlformats.org/officeDocument/2006/relationships/hyperlink" Target="https://s95.ru/activities/123" TargetMode="External"/><Relationship Id="rId44" Type="http://schemas.openxmlformats.org/officeDocument/2006/relationships/hyperlink" Target="https://s95.ru/activities/120" TargetMode="External"/><Relationship Id="rId43" Type="http://schemas.openxmlformats.org/officeDocument/2006/relationships/hyperlink" Target="https://s95.ru/activities/121" TargetMode="External"/><Relationship Id="rId46" Type="http://schemas.openxmlformats.org/officeDocument/2006/relationships/hyperlink" Target="https://s95.ru/activities/104" TargetMode="External"/><Relationship Id="rId45" Type="http://schemas.openxmlformats.org/officeDocument/2006/relationships/hyperlink" Target="https://s95.ru/activities/105" TargetMode="External"/><Relationship Id="rId1" Type="http://schemas.openxmlformats.org/officeDocument/2006/relationships/hyperlink" Target="https://s95.ru/activities/229" TargetMode="External"/><Relationship Id="rId2" Type="http://schemas.openxmlformats.org/officeDocument/2006/relationships/hyperlink" Target="https://s95.ru/activities/229" TargetMode="External"/><Relationship Id="rId3" Type="http://schemas.openxmlformats.org/officeDocument/2006/relationships/hyperlink" Target="https://s95.ru/activities/229" TargetMode="External"/><Relationship Id="rId4" Type="http://schemas.openxmlformats.org/officeDocument/2006/relationships/hyperlink" Target="https://s95.ru/activities/229" TargetMode="External"/><Relationship Id="rId9" Type="http://schemas.openxmlformats.org/officeDocument/2006/relationships/hyperlink" Target="https://s95.ru/activities/229" TargetMode="External"/><Relationship Id="rId48" Type="http://schemas.openxmlformats.org/officeDocument/2006/relationships/hyperlink" Target="https://s95.ru/activities/102" TargetMode="External"/><Relationship Id="rId47" Type="http://schemas.openxmlformats.org/officeDocument/2006/relationships/hyperlink" Target="https://s95.ru/activities/103" TargetMode="External"/><Relationship Id="rId49" Type="http://schemas.openxmlformats.org/officeDocument/2006/relationships/hyperlink" Target="https://s95.ru/activities/101" TargetMode="External"/><Relationship Id="rId5" Type="http://schemas.openxmlformats.org/officeDocument/2006/relationships/hyperlink" Target="https://s95.ru/activities/229" TargetMode="External"/><Relationship Id="rId6" Type="http://schemas.openxmlformats.org/officeDocument/2006/relationships/hyperlink" Target="https://s95.ru/activities/229" TargetMode="External"/><Relationship Id="rId7" Type="http://schemas.openxmlformats.org/officeDocument/2006/relationships/hyperlink" Target="https://s95.ru/activities/229" TargetMode="External"/><Relationship Id="rId8" Type="http://schemas.openxmlformats.org/officeDocument/2006/relationships/hyperlink" Target="https://s95.ru/activities/229" TargetMode="External"/><Relationship Id="rId31" Type="http://schemas.openxmlformats.org/officeDocument/2006/relationships/hyperlink" Target="https://s95.ru/activities/134" TargetMode="External"/><Relationship Id="rId30" Type="http://schemas.openxmlformats.org/officeDocument/2006/relationships/hyperlink" Target="https://s95.ru/activities/135" TargetMode="External"/><Relationship Id="rId33" Type="http://schemas.openxmlformats.org/officeDocument/2006/relationships/hyperlink" Target="https://s95.ru/activities/132" TargetMode="External"/><Relationship Id="rId32" Type="http://schemas.openxmlformats.org/officeDocument/2006/relationships/hyperlink" Target="https://s95.ru/activities/133" TargetMode="External"/><Relationship Id="rId35" Type="http://schemas.openxmlformats.org/officeDocument/2006/relationships/hyperlink" Target="https://s95.ru/activities/130" TargetMode="External"/><Relationship Id="rId34" Type="http://schemas.openxmlformats.org/officeDocument/2006/relationships/hyperlink" Target="https://s95.ru/activities/131" TargetMode="External"/><Relationship Id="rId37" Type="http://schemas.openxmlformats.org/officeDocument/2006/relationships/hyperlink" Target="https://s95.ru/activities/128" TargetMode="External"/><Relationship Id="rId36" Type="http://schemas.openxmlformats.org/officeDocument/2006/relationships/hyperlink" Target="https://s95.ru/activities/129" TargetMode="External"/><Relationship Id="rId39" Type="http://schemas.openxmlformats.org/officeDocument/2006/relationships/hyperlink" Target="https://s95.ru/activities/125" TargetMode="External"/><Relationship Id="rId38" Type="http://schemas.openxmlformats.org/officeDocument/2006/relationships/hyperlink" Target="https://s95.ru/activities/126" TargetMode="External"/><Relationship Id="rId20" Type="http://schemas.openxmlformats.org/officeDocument/2006/relationships/hyperlink" Target="https://s95.ru/activities/161" TargetMode="External"/><Relationship Id="rId22" Type="http://schemas.openxmlformats.org/officeDocument/2006/relationships/hyperlink" Target="https://s95.ru/activities/149" TargetMode="External"/><Relationship Id="rId21" Type="http://schemas.openxmlformats.org/officeDocument/2006/relationships/hyperlink" Target="https://s95.ru/activities/154" TargetMode="External"/><Relationship Id="rId24" Type="http://schemas.openxmlformats.org/officeDocument/2006/relationships/hyperlink" Target="https://s95.ru/activities/106" TargetMode="External"/><Relationship Id="rId23" Type="http://schemas.openxmlformats.org/officeDocument/2006/relationships/hyperlink" Target="https://s95.ru/activities/117" TargetMode="External"/><Relationship Id="rId26" Type="http://schemas.openxmlformats.org/officeDocument/2006/relationships/hyperlink" Target="https://s95.ru/activities/139" TargetMode="External"/><Relationship Id="rId25" Type="http://schemas.openxmlformats.org/officeDocument/2006/relationships/hyperlink" Target="https://s95.ru/activities/140" TargetMode="External"/><Relationship Id="rId28" Type="http://schemas.openxmlformats.org/officeDocument/2006/relationships/hyperlink" Target="https://s95.ru/activities/137" TargetMode="External"/><Relationship Id="rId27" Type="http://schemas.openxmlformats.org/officeDocument/2006/relationships/hyperlink" Target="https://s95.ru/activities/138" TargetMode="External"/><Relationship Id="rId29" Type="http://schemas.openxmlformats.org/officeDocument/2006/relationships/hyperlink" Target="https://s95.ru/activities/136" TargetMode="External"/><Relationship Id="rId50" Type="http://schemas.openxmlformats.org/officeDocument/2006/relationships/drawing" Target="../drawings/drawing1.xml"/><Relationship Id="rId11" Type="http://schemas.openxmlformats.org/officeDocument/2006/relationships/hyperlink" Target="https://s95.ru/activities/215" TargetMode="External"/><Relationship Id="rId10" Type="http://schemas.openxmlformats.org/officeDocument/2006/relationships/hyperlink" Target="https://s95.ru/activities/222" TargetMode="External"/><Relationship Id="rId13" Type="http://schemas.openxmlformats.org/officeDocument/2006/relationships/hyperlink" Target="https://s95.ru/activities/202" TargetMode="External"/><Relationship Id="rId12" Type="http://schemas.openxmlformats.org/officeDocument/2006/relationships/hyperlink" Target="https://s95.ru/activities/211" TargetMode="External"/><Relationship Id="rId15" Type="http://schemas.openxmlformats.org/officeDocument/2006/relationships/hyperlink" Target="https://s95.ru/activities/190" TargetMode="External"/><Relationship Id="rId14" Type="http://schemas.openxmlformats.org/officeDocument/2006/relationships/hyperlink" Target="https://s95.ru/activities/199" TargetMode="External"/><Relationship Id="rId17" Type="http://schemas.openxmlformats.org/officeDocument/2006/relationships/hyperlink" Target="https://s95.ru/activities/179" TargetMode="External"/><Relationship Id="rId16" Type="http://schemas.openxmlformats.org/officeDocument/2006/relationships/hyperlink" Target="https://s95.ru/activities/189" TargetMode="External"/><Relationship Id="rId19" Type="http://schemas.openxmlformats.org/officeDocument/2006/relationships/hyperlink" Target="https://s95.ru/activities/166" TargetMode="External"/><Relationship Id="rId18" Type="http://schemas.openxmlformats.org/officeDocument/2006/relationships/hyperlink" Target="https://s95.ru/activities/175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s95.ru/events/shhyolkovo" TargetMode="External"/><Relationship Id="rId42" Type="http://schemas.openxmlformats.org/officeDocument/2006/relationships/hyperlink" Target="https://s95.ru/events/almetyevsk" TargetMode="External"/><Relationship Id="rId41" Type="http://schemas.openxmlformats.org/officeDocument/2006/relationships/hyperlink" Target="https://s95.ru/activities/2746" TargetMode="External"/><Relationship Id="rId44" Type="http://schemas.openxmlformats.org/officeDocument/2006/relationships/hyperlink" Target="https://s95.ru/events/novgorod" TargetMode="External"/><Relationship Id="rId43" Type="http://schemas.openxmlformats.org/officeDocument/2006/relationships/hyperlink" Target="https://s95.ru/activities/2754" TargetMode="External"/><Relationship Id="rId46" Type="http://schemas.openxmlformats.org/officeDocument/2006/relationships/hyperlink" Target="https://s95.rs/events/belgrade" TargetMode="External"/><Relationship Id="rId45" Type="http://schemas.openxmlformats.org/officeDocument/2006/relationships/hyperlink" Target="https://s95.rs/activities/2755" TargetMode="External"/><Relationship Id="rId1" Type="http://schemas.openxmlformats.org/officeDocument/2006/relationships/hyperlink" Target="https://s95.ru/activities/2733" TargetMode="External"/><Relationship Id="rId2" Type="http://schemas.openxmlformats.org/officeDocument/2006/relationships/hyperlink" Target="https://s95.ru/events/angarskie_prudy" TargetMode="External"/><Relationship Id="rId3" Type="http://schemas.openxmlformats.org/officeDocument/2006/relationships/hyperlink" Target="https://s95.ru/activities/2770" TargetMode="External"/><Relationship Id="rId4" Type="http://schemas.openxmlformats.org/officeDocument/2006/relationships/hyperlink" Target="https://s95.ru/events/golyanovo" TargetMode="External"/><Relationship Id="rId9" Type="http://schemas.openxmlformats.org/officeDocument/2006/relationships/hyperlink" Target="https://s95.ru/activities/2774" TargetMode="External"/><Relationship Id="rId48" Type="http://schemas.openxmlformats.org/officeDocument/2006/relationships/hyperlink" Target="https://s95.rs/events/novisad" TargetMode="External"/><Relationship Id="rId47" Type="http://schemas.openxmlformats.org/officeDocument/2006/relationships/hyperlink" Target="https://s95.rs/activities/2769" TargetMode="External"/><Relationship Id="rId49" Type="http://schemas.openxmlformats.org/officeDocument/2006/relationships/hyperlink" Target="https://s95.by/activities/2764" TargetMode="External"/><Relationship Id="rId5" Type="http://schemas.openxmlformats.org/officeDocument/2006/relationships/hyperlink" Target="https://s95.ru/activities/2760" TargetMode="External"/><Relationship Id="rId6" Type="http://schemas.openxmlformats.org/officeDocument/2006/relationships/hyperlink" Target="https://s95.ru/events/valday" TargetMode="External"/><Relationship Id="rId7" Type="http://schemas.openxmlformats.org/officeDocument/2006/relationships/hyperlink" Target="https://s95.ru/activities/2775" TargetMode="External"/><Relationship Id="rId8" Type="http://schemas.openxmlformats.org/officeDocument/2006/relationships/hyperlink" Target="https://s95.ru/events/ivanovo" TargetMode="External"/><Relationship Id="rId31" Type="http://schemas.openxmlformats.org/officeDocument/2006/relationships/hyperlink" Target="https://s95.ru/activities/2772" TargetMode="External"/><Relationship Id="rId30" Type="http://schemas.openxmlformats.org/officeDocument/2006/relationships/hyperlink" Target="https://s95.ru/events/penza" TargetMode="External"/><Relationship Id="rId33" Type="http://schemas.openxmlformats.org/officeDocument/2006/relationships/hyperlink" Target="https://s95.ru/activities/2777" TargetMode="External"/><Relationship Id="rId32" Type="http://schemas.openxmlformats.org/officeDocument/2006/relationships/hyperlink" Target="https://s95.ru/events/lensk" TargetMode="External"/><Relationship Id="rId35" Type="http://schemas.openxmlformats.org/officeDocument/2006/relationships/hyperlink" Target="https://s95.ru/activities/2763" TargetMode="External"/><Relationship Id="rId34" Type="http://schemas.openxmlformats.org/officeDocument/2006/relationships/hyperlink" Target="https://s95.ru/events/troitsk" TargetMode="External"/><Relationship Id="rId37" Type="http://schemas.openxmlformats.org/officeDocument/2006/relationships/hyperlink" Target="https://s95.ru/activities/2662" TargetMode="External"/><Relationship Id="rId36" Type="http://schemas.openxmlformats.org/officeDocument/2006/relationships/hyperlink" Target="https://s95.ru/events/khabarovsk" TargetMode="External"/><Relationship Id="rId39" Type="http://schemas.openxmlformats.org/officeDocument/2006/relationships/hyperlink" Target="https://s95.ru/activities/2765" TargetMode="External"/><Relationship Id="rId38" Type="http://schemas.openxmlformats.org/officeDocument/2006/relationships/hyperlink" Target="https://s95.ru/events/tsaritsyno" TargetMode="External"/><Relationship Id="rId20" Type="http://schemas.openxmlformats.org/officeDocument/2006/relationships/hyperlink" Target="https://s95.ru/events/orekhovo_zuyevo" TargetMode="External"/><Relationship Id="rId22" Type="http://schemas.openxmlformats.org/officeDocument/2006/relationships/hyperlink" Target="https://s95.ru/events/podolsk" TargetMode="External"/><Relationship Id="rId21" Type="http://schemas.openxmlformats.org/officeDocument/2006/relationships/hyperlink" Target="https://s95.ru/activities/2773" TargetMode="External"/><Relationship Id="rId24" Type="http://schemas.openxmlformats.org/officeDocument/2006/relationships/hyperlink" Target="https://s95.ru/events/parkzhrun" TargetMode="External"/><Relationship Id="rId23" Type="http://schemas.openxmlformats.org/officeDocument/2006/relationships/hyperlink" Target="https://s95.ru/activities/2776" TargetMode="External"/><Relationship Id="rId26" Type="http://schemas.openxmlformats.org/officeDocument/2006/relationships/hyperlink" Target="https://s95.ru/events/saransk" TargetMode="External"/><Relationship Id="rId25" Type="http://schemas.openxmlformats.org/officeDocument/2006/relationships/hyperlink" Target="https://s95.ru/activities/2766" TargetMode="External"/><Relationship Id="rId28" Type="http://schemas.openxmlformats.org/officeDocument/2006/relationships/hyperlink" Target="https://s95.ru/events/pechatniki" TargetMode="External"/><Relationship Id="rId27" Type="http://schemas.openxmlformats.org/officeDocument/2006/relationships/hyperlink" Target="https://s95.ru/activities/2671" TargetMode="External"/><Relationship Id="rId29" Type="http://schemas.openxmlformats.org/officeDocument/2006/relationships/hyperlink" Target="https://s95.ru/activities/2762" TargetMode="External"/><Relationship Id="rId51" Type="http://schemas.openxmlformats.org/officeDocument/2006/relationships/hyperlink" Target="https://s95.by/activities/2767" TargetMode="External"/><Relationship Id="rId50" Type="http://schemas.openxmlformats.org/officeDocument/2006/relationships/hyperlink" Target="https://s95.by/events/brest" TargetMode="External"/><Relationship Id="rId53" Type="http://schemas.openxmlformats.org/officeDocument/2006/relationships/drawing" Target="../drawings/drawing4.xml"/><Relationship Id="rId52" Type="http://schemas.openxmlformats.org/officeDocument/2006/relationships/hyperlink" Target="https://s95.by/events/gomel" TargetMode="External"/><Relationship Id="rId11" Type="http://schemas.openxmlformats.org/officeDocument/2006/relationships/hyperlink" Target="https://s95.ru/activities/2702" TargetMode="External"/><Relationship Id="rId10" Type="http://schemas.openxmlformats.org/officeDocument/2006/relationships/hyperlink" Target="https://s95.ru/events/ekaterininskiy" TargetMode="External"/><Relationship Id="rId13" Type="http://schemas.openxmlformats.org/officeDocument/2006/relationships/hyperlink" Target="https://s95.ru/activities/2699" TargetMode="External"/><Relationship Id="rId12" Type="http://schemas.openxmlformats.org/officeDocument/2006/relationships/hyperlink" Target="https://s95.ru/events/izmailovo" TargetMode="External"/><Relationship Id="rId15" Type="http://schemas.openxmlformats.org/officeDocument/2006/relationships/hyperlink" Target="https://s95.ru/activities/2633" TargetMode="External"/><Relationship Id="rId14" Type="http://schemas.openxmlformats.org/officeDocument/2006/relationships/hyperlink" Target="https://s95.ru/events/kuzminki" TargetMode="External"/><Relationship Id="rId17" Type="http://schemas.openxmlformats.org/officeDocument/2006/relationships/hyperlink" Target="https://s95.ru/activities/2768" TargetMode="External"/><Relationship Id="rId16" Type="http://schemas.openxmlformats.org/officeDocument/2006/relationships/hyperlink" Target="https://s95.ru/events/kuskovo" TargetMode="External"/><Relationship Id="rId19" Type="http://schemas.openxmlformats.org/officeDocument/2006/relationships/hyperlink" Target="https://s95.ru/activities/2757" TargetMode="External"/><Relationship Id="rId18" Type="http://schemas.openxmlformats.org/officeDocument/2006/relationships/hyperlink" Target="https://s95.ru/events/olimpiyskaya_derevnya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63"/>
    <col customWidth="1" min="2" max="4" width="4.88"/>
    <col customWidth="1" min="5" max="5" width="6.0"/>
    <col customWidth="1" min="6" max="6" width="4.88"/>
    <col customWidth="1" min="7" max="9" width="5.0"/>
    <col customWidth="1" min="10" max="11" width="4.88"/>
    <col customWidth="1" min="12" max="18" width="5.5"/>
    <col customWidth="1" min="19" max="19" width="4.88"/>
    <col customWidth="1" min="20" max="20" width="6.13"/>
    <col customWidth="1" min="21" max="22" width="4.88"/>
    <col customWidth="1" min="23" max="23" width="4.63"/>
    <col customWidth="1" min="24" max="28" width="4.88"/>
    <col customWidth="1" min="29" max="29" width="5.0"/>
    <col customWidth="1" min="30" max="33" width="4.88"/>
    <col customWidth="1" min="34" max="34" width="7.88"/>
    <col customWidth="1" min="35" max="35" width="8.75"/>
    <col customWidth="1" min="36" max="36" width="7.88"/>
    <col customWidth="1" min="37" max="37" width="9.63"/>
    <col customWidth="1" min="38" max="38" width="7.63"/>
    <col customWidth="1" min="39" max="39" width="7.13"/>
    <col customWidth="1" min="40" max="40" width="26.2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9" t="s">
        <v>26</v>
      </c>
      <c r="AB1" s="10" t="s">
        <v>27</v>
      </c>
      <c r="AC1" s="11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4" t="s">
        <v>33</v>
      </c>
      <c r="AI1" s="15" t="s">
        <v>34</v>
      </c>
      <c r="AJ1" s="16" t="s">
        <v>35</v>
      </c>
      <c r="AK1" s="16" t="s">
        <v>36</v>
      </c>
      <c r="AL1" s="16" t="s">
        <v>37</v>
      </c>
      <c r="AM1" s="17"/>
      <c r="AN1" s="17" t="s">
        <v>38</v>
      </c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</row>
    <row r="2">
      <c r="A2" s="19" t="s">
        <v>39</v>
      </c>
      <c r="B2" s="19"/>
      <c r="C2" s="19">
        <f t="shared" ref="C2:AH2" si="1">MIN(C5:C227)</f>
        <v>9</v>
      </c>
      <c r="D2" s="19">
        <f t="shared" si="1"/>
        <v>3</v>
      </c>
      <c r="E2" s="19">
        <f t="shared" si="1"/>
        <v>34</v>
      </c>
      <c r="F2" s="19">
        <f t="shared" si="1"/>
        <v>12</v>
      </c>
      <c r="G2" s="19">
        <f t="shared" si="1"/>
        <v>1</v>
      </c>
      <c r="H2" s="19">
        <f t="shared" si="1"/>
        <v>10</v>
      </c>
      <c r="I2" s="19">
        <f t="shared" si="1"/>
        <v>10</v>
      </c>
      <c r="J2" s="19">
        <f t="shared" si="1"/>
        <v>6</v>
      </c>
      <c r="K2" s="19">
        <f t="shared" si="1"/>
        <v>8</v>
      </c>
      <c r="L2" s="19">
        <f t="shared" si="1"/>
        <v>2</v>
      </c>
      <c r="M2" s="19">
        <f t="shared" si="1"/>
        <v>4</v>
      </c>
      <c r="N2" s="19">
        <f t="shared" si="1"/>
        <v>4</v>
      </c>
      <c r="O2" s="19">
        <f t="shared" si="1"/>
        <v>6</v>
      </c>
      <c r="P2" s="19">
        <f t="shared" si="1"/>
        <v>37</v>
      </c>
      <c r="Q2" s="19">
        <f t="shared" si="1"/>
        <v>3</v>
      </c>
      <c r="R2" s="19">
        <f t="shared" si="1"/>
        <v>6</v>
      </c>
      <c r="S2" s="19">
        <f t="shared" si="1"/>
        <v>4</v>
      </c>
      <c r="T2" s="19">
        <f t="shared" si="1"/>
        <v>6</v>
      </c>
      <c r="U2" s="19">
        <f t="shared" si="1"/>
        <v>8</v>
      </c>
      <c r="V2" s="19">
        <f t="shared" si="1"/>
        <v>2</v>
      </c>
      <c r="W2" s="19">
        <f t="shared" si="1"/>
        <v>1</v>
      </c>
      <c r="X2" s="19">
        <f t="shared" si="1"/>
        <v>24</v>
      </c>
      <c r="Y2" s="19">
        <f t="shared" si="1"/>
        <v>4</v>
      </c>
      <c r="Z2" s="19">
        <f t="shared" si="1"/>
        <v>6</v>
      </c>
      <c r="AA2" s="19">
        <f t="shared" si="1"/>
        <v>3</v>
      </c>
      <c r="AB2" s="20">
        <f t="shared" si="1"/>
        <v>14</v>
      </c>
      <c r="AC2" s="21">
        <f t="shared" si="1"/>
        <v>6</v>
      </c>
      <c r="AD2" s="22">
        <f t="shared" si="1"/>
        <v>8</v>
      </c>
      <c r="AE2" s="22">
        <f t="shared" si="1"/>
        <v>8</v>
      </c>
      <c r="AF2" s="22">
        <f t="shared" si="1"/>
        <v>6</v>
      </c>
      <c r="AG2" s="22">
        <f t="shared" si="1"/>
        <v>5</v>
      </c>
      <c r="AH2" s="23">
        <f t="shared" si="1"/>
        <v>4</v>
      </c>
      <c r="AI2" s="24">
        <f>MIN(AI30:AI227)</f>
        <v>60</v>
      </c>
      <c r="AJ2" s="24"/>
      <c r="AK2" s="24"/>
      <c r="AL2" s="24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6"/>
    </row>
    <row r="3">
      <c r="A3" s="27" t="s">
        <v>40</v>
      </c>
      <c r="B3" s="27"/>
      <c r="C3" s="27">
        <f t="shared" ref="C3:AI3" si="2">max(C5:C232)</f>
        <v>90</v>
      </c>
      <c r="D3" s="27">
        <f t="shared" si="2"/>
        <v>41</v>
      </c>
      <c r="E3" s="27">
        <f t="shared" si="2"/>
        <v>845</v>
      </c>
      <c r="F3" s="27">
        <f t="shared" si="2"/>
        <v>132</v>
      </c>
      <c r="G3" s="27">
        <f t="shared" si="2"/>
        <v>74</v>
      </c>
      <c r="H3" s="27">
        <f t="shared" si="2"/>
        <v>98</v>
      </c>
      <c r="I3" s="27">
        <f t="shared" si="2"/>
        <v>179</v>
      </c>
      <c r="J3" s="27">
        <f t="shared" si="2"/>
        <v>800</v>
      </c>
      <c r="K3" s="27">
        <f t="shared" si="2"/>
        <v>168</v>
      </c>
      <c r="L3" s="27">
        <f t="shared" si="2"/>
        <v>30</v>
      </c>
      <c r="M3" s="27">
        <f t="shared" si="2"/>
        <v>152</v>
      </c>
      <c r="N3" s="27">
        <f t="shared" si="2"/>
        <v>19</v>
      </c>
      <c r="O3" s="27">
        <f t="shared" si="2"/>
        <v>26</v>
      </c>
      <c r="P3" s="27">
        <f t="shared" si="2"/>
        <v>309</v>
      </c>
      <c r="Q3" s="27">
        <f t="shared" si="2"/>
        <v>13</v>
      </c>
      <c r="R3" s="27">
        <f t="shared" si="2"/>
        <v>43</v>
      </c>
      <c r="S3" s="27">
        <f t="shared" si="2"/>
        <v>28</v>
      </c>
      <c r="T3" s="27">
        <f t="shared" si="2"/>
        <v>82</v>
      </c>
      <c r="U3" s="27">
        <f t="shared" si="2"/>
        <v>73</v>
      </c>
      <c r="V3" s="27">
        <f t="shared" si="2"/>
        <v>90</v>
      </c>
      <c r="W3" s="27">
        <f t="shared" si="2"/>
        <v>304</v>
      </c>
      <c r="X3" s="27">
        <f t="shared" si="2"/>
        <v>200</v>
      </c>
      <c r="Y3" s="27">
        <f t="shared" si="2"/>
        <v>67</v>
      </c>
      <c r="Z3" s="27">
        <f t="shared" si="2"/>
        <v>73</v>
      </c>
      <c r="AA3" s="27">
        <f t="shared" si="2"/>
        <v>38</v>
      </c>
      <c r="AB3" s="28">
        <f t="shared" si="2"/>
        <v>55</v>
      </c>
      <c r="AC3" s="29">
        <f t="shared" si="2"/>
        <v>45</v>
      </c>
      <c r="AD3" s="27">
        <f t="shared" si="2"/>
        <v>38</v>
      </c>
      <c r="AE3" s="27">
        <f t="shared" si="2"/>
        <v>142</v>
      </c>
      <c r="AF3" s="27">
        <f t="shared" si="2"/>
        <v>50</v>
      </c>
      <c r="AG3" s="27">
        <f t="shared" si="2"/>
        <v>73</v>
      </c>
      <c r="AH3" s="30">
        <f t="shared" si="2"/>
        <v>284</v>
      </c>
      <c r="AI3" s="29">
        <f t="shared" si="2"/>
        <v>1542</v>
      </c>
      <c r="AJ3" s="29"/>
      <c r="AK3" s="29"/>
      <c r="AL3" s="29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2"/>
    </row>
    <row r="4">
      <c r="A4" s="33" t="s">
        <v>41</v>
      </c>
      <c r="B4" s="33"/>
      <c r="C4" s="33">
        <f t="shared" ref="C4:AG4" si="3">AVERAGE(C$5:C230)</f>
        <v>32.25454545</v>
      </c>
      <c r="D4" s="33">
        <f t="shared" si="3"/>
        <v>12.34814815</v>
      </c>
      <c r="E4" s="33">
        <f t="shared" si="3"/>
        <v>134.4343891</v>
      </c>
      <c r="F4" s="33">
        <f t="shared" si="3"/>
        <v>38.86666667</v>
      </c>
      <c r="G4" s="33">
        <f t="shared" si="3"/>
        <v>12.98104265</v>
      </c>
      <c r="H4" s="33">
        <f t="shared" si="3"/>
        <v>37.11</v>
      </c>
      <c r="I4" s="33">
        <f t="shared" si="3"/>
        <v>42.57635468</v>
      </c>
      <c r="J4" s="33">
        <f t="shared" si="3"/>
        <v>37.30246914</v>
      </c>
      <c r="K4" s="33">
        <f t="shared" si="3"/>
        <v>30.65263158</v>
      </c>
      <c r="L4" s="33">
        <f t="shared" si="3"/>
        <v>9.618181818</v>
      </c>
      <c r="M4" s="33">
        <f t="shared" si="3"/>
        <v>19.18604651</v>
      </c>
      <c r="N4" s="33">
        <f t="shared" si="3"/>
        <v>10</v>
      </c>
      <c r="O4" s="33">
        <f t="shared" si="3"/>
        <v>14.66666667</v>
      </c>
      <c r="P4" s="33">
        <f t="shared" si="3"/>
        <v>81.69230769</v>
      </c>
      <c r="Q4" s="33">
        <f t="shared" si="3"/>
        <v>6.216216216</v>
      </c>
      <c r="R4" s="33">
        <f t="shared" si="3"/>
        <v>15.32075472</v>
      </c>
      <c r="S4" s="33">
        <f t="shared" si="3"/>
        <v>15.425</v>
      </c>
      <c r="T4" s="33">
        <f t="shared" si="3"/>
        <v>18.03333333</v>
      </c>
      <c r="U4" s="33">
        <f t="shared" si="3"/>
        <v>34.77710843</v>
      </c>
      <c r="V4" s="33">
        <f t="shared" si="3"/>
        <v>22.99342105</v>
      </c>
      <c r="W4" s="33">
        <f t="shared" si="3"/>
        <v>11.39455782</v>
      </c>
      <c r="X4" s="33">
        <f t="shared" si="3"/>
        <v>71.12418301</v>
      </c>
      <c r="Y4" s="33">
        <f t="shared" si="3"/>
        <v>24.35947712</v>
      </c>
      <c r="Z4" s="33">
        <f t="shared" si="3"/>
        <v>33.61176471</v>
      </c>
      <c r="AA4" s="33">
        <f t="shared" si="3"/>
        <v>12.4375</v>
      </c>
      <c r="AB4" s="34">
        <f t="shared" si="3"/>
        <v>26.81818182</v>
      </c>
      <c r="AC4" s="35">
        <f t="shared" si="3"/>
        <v>16.68382353</v>
      </c>
      <c r="AD4" s="33">
        <f t="shared" si="3"/>
        <v>22.15625</v>
      </c>
      <c r="AE4" s="33">
        <f t="shared" si="3"/>
        <v>27.9453125</v>
      </c>
      <c r="AF4" s="33">
        <f t="shared" si="3"/>
        <v>18.47794118</v>
      </c>
      <c r="AG4" s="33">
        <f t="shared" si="3"/>
        <v>16.29323308</v>
      </c>
      <c r="AH4" s="36">
        <f t="shared" ref="AH4:AI4" si="4">AVERAGE(AH$48:AH230)</f>
        <v>113.6666667</v>
      </c>
      <c r="AI4" s="35">
        <f t="shared" si="4"/>
        <v>470.7611111</v>
      </c>
      <c r="AJ4" s="35">
        <f t="shared" ref="AJ4:AK4" si="5">AVERAGE(AJ$30:AJ230)</f>
        <v>37.48407246</v>
      </c>
      <c r="AK4" s="35">
        <f t="shared" si="5"/>
        <v>35.85462445</v>
      </c>
      <c r="AL4" s="35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8"/>
    </row>
    <row r="5" ht="17.25" customHeight="1">
      <c r="A5" s="39"/>
      <c r="B5" s="40">
        <f t="shared" ref="B5:B19" si="6">COUNT(C5:AB5)</f>
        <v>0</v>
      </c>
      <c r="C5" s="41"/>
      <c r="D5" s="42"/>
      <c r="E5" s="42"/>
      <c r="F5" s="42"/>
      <c r="G5" s="42"/>
      <c r="H5" s="42"/>
      <c r="I5" s="42"/>
      <c r="J5" s="43"/>
      <c r="K5" s="42"/>
      <c r="L5" s="42"/>
      <c r="M5" s="42"/>
      <c r="N5" s="42"/>
      <c r="O5" s="42"/>
      <c r="P5" s="42"/>
      <c r="Q5" s="44"/>
      <c r="R5" s="42"/>
      <c r="S5" s="42"/>
      <c r="T5" s="42"/>
      <c r="U5" s="42"/>
      <c r="V5" s="42"/>
      <c r="W5" s="42"/>
      <c r="X5" s="43"/>
      <c r="Y5" s="42"/>
      <c r="Z5" s="42"/>
      <c r="AA5" s="42"/>
      <c r="AB5" s="45"/>
      <c r="AC5" s="46"/>
      <c r="AD5" s="46"/>
      <c r="AE5" s="47"/>
      <c r="AF5" s="48"/>
      <c r="AG5" s="46"/>
      <c r="AH5" s="49"/>
      <c r="AI5" s="50">
        <f t="shared" ref="AI5:AI227" si="7">SUM(C5:AH5)</f>
        <v>0</v>
      </c>
      <c r="AJ5" s="51" t="str">
        <f t="shared" ref="AJ5:AJ227" si="8">SUM(C5:AB5)/B5</f>
        <v>#DIV/0!</v>
      </c>
      <c r="AK5" s="52" t="str">
        <f t="shared" ref="AK5:AK227" si="9">AI5/COUNT(C5:AH5)</f>
        <v>#DIV/0!</v>
      </c>
      <c r="AL5" s="53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</row>
    <row r="6" ht="17.25" customHeight="1">
      <c r="A6" s="39">
        <v>46151.0</v>
      </c>
      <c r="B6" s="40">
        <f t="shared" si="6"/>
        <v>24</v>
      </c>
      <c r="C6" s="55">
        <v>44.0</v>
      </c>
      <c r="D6" s="56">
        <v>13.0</v>
      </c>
      <c r="E6" s="56">
        <v>160.0</v>
      </c>
      <c r="F6" s="56">
        <v>52.0</v>
      </c>
      <c r="G6" s="56">
        <v>14.0</v>
      </c>
      <c r="H6" s="56">
        <v>49.0</v>
      </c>
      <c r="I6" s="56">
        <v>77.0</v>
      </c>
      <c r="J6" s="57"/>
      <c r="K6" s="56">
        <v>25.0</v>
      </c>
      <c r="L6" s="56">
        <v>10.0</v>
      </c>
      <c r="M6" s="56">
        <v>23.0</v>
      </c>
      <c r="N6" s="56">
        <v>9.0</v>
      </c>
      <c r="O6" s="56">
        <v>23.0</v>
      </c>
      <c r="P6" s="56">
        <v>58.0</v>
      </c>
      <c r="Q6" s="58"/>
      <c r="R6" s="56">
        <v>43.0</v>
      </c>
      <c r="S6" s="56">
        <v>15.0</v>
      </c>
      <c r="T6" s="56">
        <v>31.0</v>
      </c>
      <c r="U6" s="56">
        <v>41.0</v>
      </c>
      <c r="V6" s="56">
        <v>90.0</v>
      </c>
      <c r="W6" s="56">
        <v>15.0</v>
      </c>
      <c r="X6" s="56">
        <v>63.0</v>
      </c>
      <c r="Y6" s="56">
        <v>53.0</v>
      </c>
      <c r="Z6" s="56">
        <v>53.0</v>
      </c>
      <c r="AA6" s="56">
        <v>9.0</v>
      </c>
      <c r="AB6" s="59">
        <v>34.0</v>
      </c>
      <c r="AC6" s="60">
        <v>23.0</v>
      </c>
      <c r="AD6" s="60">
        <v>16.0</v>
      </c>
      <c r="AE6" s="61">
        <v>29.0</v>
      </c>
      <c r="AF6" s="62">
        <v>23.0</v>
      </c>
      <c r="AG6" s="60">
        <v>17.0</v>
      </c>
      <c r="AH6" s="49"/>
      <c r="AI6" s="50">
        <f t="shared" si="7"/>
        <v>1112</v>
      </c>
      <c r="AJ6" s="51">
        <f t="shared" si="8"/>
        <v>41.83333333</v>
      </c>
      <c r="AK6" s="52">
        <f t="shared" si="9"/>
        <v>38.34482759</v>
      </c>
      <c r="AL6" s="53"/>
      <c r="AM6" s="63"/>
      <c r="AN6" s="63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</row>
    <row r="7" ht="17.25" customHeight="1">
      <c r="A7" s="39">
        <v>46144.0</v>
      </c>
      <c r="B7" s="40">
        <f t="shared" si="6"/>
        <v>25</v>
      </c>
      <c r="C7" s="55">
        <v>45.0</v>
      </c>
      <c r="D7" s="56">
        <v>12.0</v>
      </c>
      <c r="E7" s="56">
        <v>101.0</v>
      </c>
      <c r="F7" s="56">
        <v>37.0</v>
      </c>
      <c r="G7" s="56">
        <v>15.0</v>
      </c>
      <c r="H7" s="56">
        <v>35.0</v>
      </c>
      <c r="I7" s="56">
        <v>39.0</v>
      </c>
      <c r="J7" s="57">
        <v>27.0</v>
      </c>
      <c r="K7" s="56">
        <v>31.0</v>
      </c>
      <c r="L7" s="56">
        <v>5.0</v>
      </c>
      <c r="M7" s="56">
        <v>23.0</v>
      </c>
      <c r="N7" s="56">
        <v>13.0</v>
      </c>
      <c r="O7" s="56">
        <v>25.0</v>
      </c>
      <c r="P7" s="56">
        <v>47.0</v>
      </c>
      <c r="Q7" s="58"/>
      <c r="R7" s="56">
        <v>18.0</v>
      </c>
      <c r="S7" s="56">
        <v>14.0</v>
      </c>
      <c r="T7" s="56">
        <v>6.0</v>
      </c>
      <c r="U7" s="56">
        <v>39.0</v>
      </c>
      <c r="V7" s="56">
        <v>41.0</v>
      </c>
      <c r="W7" s="56">
        <v>63.0</v>
      </c>
      <c r="X7" s="56">
        <v>68.0</v>
      </c>
      <c r="Y7" s="56">
        <v>38.0</v>
      </c>
      <c r="Z7" s="56">
        <v>33.0</v>
      </c>
      <c r="AA7" s="56">
        <v>10.0</v>
      </c>
      <c r="AB7" s="59">
        <v>38.0</v>
      </c>
      <c r="AC7" s="46"/>
      <c r="AD7" s="60">
        <v>13.0</v>
      </c>
      <c r="AE7" s="61">
        <v>34.0</v>
      </c>
      <c r="AF7" s="62">
        <v>18.0</v>
      </c>
      <c r="AG7" s="60">
        <v>12.0</v>
      </c>
      <c r="AH7" s="49"/>
      <c r="AI7" s="50">
        <f t="shared" si="7"/>
        <v>900</v>
      </c>
      <c r="AJ7" s="51">
        <f t="shared" si="8"/>
        <v>32.92</v>
      </c>
      <c r="AK7" s="52">
        <f t="shared" si="9"/>
        <v>31.03448276</v>
      </c>
      <c r="AL7" s="53"/>
      <c r="AM7" s="63"/>
      <c r="AN7" s="63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</row>
    <row r="8" ht="17.25" customHeight="1">
      <c r="A8" s="39">
        <v>46137.0</v>
      </c>
      <c r="B8" s="40">
        <f t="shared" si="6"/>
        <v>26</v>
      </c>
      <c r="C8" s="55">
        <v>43.0</v>
      </c>
      <c r="D8" s="56">
        <v>13.0</v>
      </c>
      <c r="E8" s="56">
        <v>101.0</v>
      </c>
      <c r="F8" s="56">
        <v>30.0</v>
      </c>
      <c r="G8" s="56">
        <v>13.0</v>
      </c>
      <c r="H8" s="56">
        <v>38.0</v>
      </c>
      <c r="I8" s="56">
        <v>35.0</v>
      </c>
      <c r="J8" s="57">
        <v>16.0</v>
      </c>
      <c r="K8" s="56">
        <v>25.0</v>
      </c>
      <c r="L8" s="56">
        <v>11.0</v>
      </c>
      <c r="M8" s="56">
        <v>15.0</v>
      </c>
      <c r="N8" s="56">
        <v>12.0</v>
      </c>
      <c r="O8" s="56">
        <v>26.0</v>
      </c>
      <c r="P8" s="56">
        <v>55.0</v>
      </c>
      <c r="Q8" s="64">
        <v>5.0</v>
      </c>
      <c r="R8" s="56">
        <v>13.0</v>
      </c>
      <c r="S8" s="56">
        <v>19.0</v>
      </c>
      <c r="T8" s="56">
        <v>13.0</v>
      </c>
      <c r="U8" s="56">
        <v>47.0</v>
      </c>
      <c r="V8" s="56">
        <v>31.0</v>
      </c>
      <c r="W8" s="56">
        <v>37.0</v>
      </c>
      <c r="X8" s="56">
        <v>102.0</v>
      </c>
      <c r="Y8" s="56">
        <v>40.0</v>
      </c>
      <c r="Z8" s="56">
        <v>33.0</v>
      </c>
      <c r="AA8" s="56">
        <v>9.0</v>
      </c>
      <c r="AB8" s="59">
        <v>30.0</v>
      </c>
      <c r="AC8" s="60">
        <v>11.0</v>
      </c>
      <c r="AD8" s="60">
        <v>20.0</v>
      </c>
      <c r="AE8" s="61">
        <v>25.0</v>
      </c>
      <c r="AF8" s="62">
        <v>21.0</v>
      </c>
      <c r="AG8" s="60">
        <v>10.0</v>
      </c>
      <c r="AH8" s="49"/>
      <c r="AI8" s="50">
        <f t="shared" si="7"/>
        <v>899</v>
      </c>
      <c r="AJ8" s="51">
        <f t="shared" si="8"/>
        <v>31.23076923</v>
      </c>
      <c r="AK8" s="52">
        <f t="shared" si="9"/>
        <v>29</v>
      </c>
      <c r="AL8" s="53"/>
      <c r="AM8" s="63"/>
      <c r="AN8" s="65" t="s">
        <v>42</v>
      </c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</row>
    <row r="9" ht="17.25" customHeight="1">
      <c r="A9" s="39">
        <v>46130.0</v>
      </c>
      <c r="B9" s="40">
        <f t="shared" si="6"/>
        <v>26</v>
      </c>
      <c r="C9" s="55">
        <v>36.0</v>
      </c>
      <c r="D9" s="56">
        <v>14.0</v>
      </c>
      <c r="E9" s="56">
        <v>100.0</v>
      </c>
      <c r="F9" s="56">
        <v>30.0</v>
      </c>
      <c r="G9" s="56">
        <v>12.0</v>
      </c>
      <c r="H9" s="56">
        <v>42.0</v>
      </c>
      <c r="I9" s="56">
        <v>55.0</v>
      </c>
      <c r="J9" s="66">
        <v>21.0</v>
      </c>
      <c r="K9" s="56">
        <v>19.0</v>
      </c>
      <c r="L9" s="56">
        <v>3.0</v>
      </c>
      <c r="M9" s="56">
        <v>13.0</v>
      </c>
      <c r="N9" s="56">
        <v>4.0</v>
      </c>
      <c r="O9" s="56">
        <v>18.0</v>
      </c>
      <c r="P9" s="56">
        <v>309.0</v>
      </c>
      <c r="Q9" s="67">
        <v>8.0</v>
      </c>
      <c r="R9" s="56">
        <v>34.0</v>
      </c>
      <c r="S9" s="56">
        <v>24.0</v>
      </c>
      <c r="T9" s="56">
        <v>17.0</v>
      </c>
      <c r="U9" s="56">
        <v>46.0</v>
      </c>
      <c r="V9" s="56">
        <v>50.0</v>
      </c>
      <c r="W9" s="56">
        <v>5.0</v>
      </c>
      <c r="X9" s="56">
        <v>124.0</v>
      </c>
      <c r="Y9" s="56">
        <v>50.0</v>
      </c>
      <c r="Z9" s="56">
        <v>55.0</v>
      </c>
      <c r="AA9" s="56">
        <v>8.0</v>
      </c>
      <c r="AB9" s="59">
        <v>28.0</v>
      </c>
      <c r="AC9" s="60">
        <v>14.0</v>
      </c>
      <c r="AD9" s="60">
        <v>13.0</v>
      </c>
      <c r="AE9" s="61">
        <v>19.0</v>
      </c>
      <c r="AF9" s="62">
        <v>14.0</v>
      </c>
      <c r="AG9" s="60">
        <v>10.0</v>
      </c>
      <c r="AH9" s="49"/>
      <c r="AI9" s="50">
        <f t="shared" si="7"/>
        <v>1195</v>
      </c>
      <c r="AJ9" s="51">
        <f t="shared" si="8"/>
        <v>43.26923077</v>
      </c>
      <c r="AK9" s="52">
        <f t="shared" si="9"/>
        <v>38.5483871</v>
      </c>
      <c r="AL9" s="53"/>
      <c r="AM9" s="65"/>
      <c r="AN9" s="63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</row>
    <row r="10" ht="17.25" customHeight="1">
      <c r="A10" s="39">
        <v>46123.0</v>
      </c>
      <c r="B10" s="40">
        <f t="shared" si="6"/>
        <v>26</v>
      </c>
      <c r="C10" s="55">
        <v>46.0</v>
      </c>
      <c r="D10" s="56">
        <v>14.0</v>
      </c>
      <c r="E10" s="56">
        <v>152.0</v>
      </c>
      <c r="F10" s="56">
        <v>71.0</v>
      </c>
      <c r="G10" s="56">
        <v>12.0</v>
      </c>
      <c r="H10" s="56">
        <v>31.0</v>
      </c>
      <c r="I10" s="56">
        <v>39.0</v>
      </c>
      <c r="J10" s="66">
        <v>15.0</v>
      </c>
      <c r="K10" s="56">
        <v>22.0</v>
      </c>
      <c r="L10" s="56">
        <v>24.0</v>
      </c>
      <c r="M10" s="56">
        <v>15.0</v>
      </c>
      <c r="N10" s="56">
        <v>9.0</v>
      </c>
      <c r="O10" s="56">
        <v>25.0</v>
      </c>
      <c r="P10" s="56">
        <v>37.0</v>
      </c>
      <c r="Q10" s="67">
        <v>12.0</v>
      </c>
      <c r="R10" s="56">
        <v>15.0</v>
      </c>
      <c r="S10" s="56">
        <v>14.0</v>
      </c>
      <c r="T10" s="56">
        <v>18.0</v>
      </c>
      <c r="U10" s="56">
        <v>54.0</v>
      </c>
      <c r="V10" s="56">
        <v>54.0</v>
      </c>
      <c r="W10" s="56">
        <v>8.0</v>
      </c>
      <c r="X10" s="56">
        <v>114.0</v>
      </c>
      <c r="Y10" s="56">
        <v>30.0</v>
      </c>
      <c r="Z10" s="56">
        <v>50.0</v>
      </c>
      <c r="AA10" s="56">
        <v>6.0</v>
      </c>
      <c r="AB10" s="59">
        <v>19.0</v>
      </c>
      <c r="AC10" s="60">
        <v>16.0</v>
      </c>
      <c r="AD10" s="60">
        <v>22.0</v>
      </c>
      <c r="AE10" s="61">
        <v>39.0</v>
      </c>
      <c r="AF10" s="62">
        <v>23.0</v>
      </c>
      <c r="AG10" s="60">
        <v>11.0</v>
      </c>
      <c r="AH10" s="49"/>
      <c r="AI10" s="50">
        <f t="shared" si="7"/>
        <v>1017</v>
      </c>
      <c r="AJ10" s="51">
        <f t="shared" si="8"/>
        <v>34.84615385</v>
      </c>
      <c r="AK10" s="52">
        <f t="shared" si="9"/>
        <v>32.80645161</v>
      </c>
      <c r="AL10" s="53"/>
      <c r="AM10" s="65"/>
      <c r="AN10" s="63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</row>
    <row r="11" ht="17.25" customHeight="1">
      <c r="A11" s="39">
        <v>46116.0</v>
      </c>
      <c r="B11" s="40">
        <f t="shared" si="6"/>
        <v>26</v>
      </c>
      <c r="C11" s="55">
        <v>49.0</v>
      </c>
      <c r="D11" s="56">
        <v>21.0</v>
      </c>
      <c r="E11" s="56">
        <v>128.0</v>
      </c>
      <c r="F11" s="56">
        <v>41.0</v>
      </c>
      <c r="G11" s="56">
        <v>58.0</v>
      </c>
      <c r="H11" s="56">
        <v>43.0</v>
      </c>
      <c r="I11" s="56">
        <v>57.0</v>
      </c>
      <c r="J11" s="66">
        <v>21.0</v>
      </c>
      <c r="K11" s="56">
        <v>121.0</v>
      </c>
      <c r="L11" s="56">
        <v>8.0</v>
      </c>
      <c r="M11" s="56">
        <v>15.0</v>
      </c>
      <c r="N11" s="56">
        <v>13.0</v>
      </c>
      <c r="O11" s="56">
        <v>19.0</v>
      </c>
      <c r="P11" s="56">
        <v>57.0</v>
      </c>
      <c r="Q11" s="67">
        <v>9.0</v>
      </c>
      <c r="R11" s="56">
        <v>18.0</v>
      </c>
      <c r="S11" s="56">
        <v>13.0</v>
      </c>
      <c r="T11" s="56">
        <v>19.0</v>
      </c>
      <c r="U11" s="56">
        <v>38.0</v>
      </c>
      <c r="V11" s="56">
        <v>59.0</v>
      </c>
      <c r="W11" s="56">
        <v>16.0</v>
      </c>
      <c r="X11" s="56">
        <v>62.0</v>
      </c>
      <c r="Y11" s="56">
        <v>24.0</v>
      </c>
      <c r="Z11" s="56">
        <v>45.0</v>
      </c>
      <c r="AA11" s="56">
        <v>4.0</v>
      </c>
      <c r="AB11" s="59">
        <v>30.0</v>
      </c>
      <c r="AC11" s="60">
        <v>25.0</v>
      </c>
      <c r="AD11" s="60">
        <v>37.0</v>
      </c>
      <c r="AE11" s="61">
        <v>35.0</v>
      </c>
      <c r="AF11" s="62">
        <v>17.0</v>
      </c>
      <c r="AG11" s="60">
        <v>14.0</v>
      </c>
      <c r="AH11" s="49"/>
      <c r="AI11" s="50">
        <f t="shared" si="7"/>
        <v>1116</v>
      </c>
      <c r="AJ11" s="51">
        <f t="shared" si="8"/>
        <v>38</v>
      </c>
      <c r="AK11" s="52">
        <f t="shared" si="9"/>
        <v>36</v>
      </c>
      <c r="AL11" s="53"/>
      <c r="AM11" s="65"/>
      <c r="AN11" s="63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</row>
    <row r="12" ht="17.25" customHeight="1">
      <c r="A12" s="39">
        <v>46109.0</v>
      </c>
      <c r="B12" s="40">
        <f t="shared" si="6"/>
        <v>26</v>
      </c>
      <c r="C12" s="55">
        <v>51.0</v>
      </c>
      <c r="D12" s="56">
        <v>8.0</v>
      </c>
      <c r="E12" s="56">
        <v>150.0</v>
      </c>
      <c r="F12" s="56">
        <v>25.0</v>
      </c>
      <c r="G12" s="56">
        <v>14.0</v>
      </c>
      <c r="H12" s="56">
        <v>44.0</v>
      </c>
      <c r="I12" s="56">
        <v>164.0</v>
      </c>
      <c r="J12" s="66">
        <v>15.0</v>
      </c>
      <c r="K12" s="56">
        <v>17.0</v>
      </c>
      <c r="L12" s="56">
        <v>10.0</v>
      </c>
      <c r="M12" s="56">
        <v>11.0</v>
      </c>
      <c r="N12" s="56">
        <v>13.0</v>
      </c>
      <c r="O12" s="56">
        <v>9.0</v>
      </c>
      <c r="P12" s="56">
        <v>66.0</v>
      </c>
      <c r="Q12" s="67">
        <v>6.0</v>
      </c>
      <c r="R12" s="56">
        <v>20.0</v>
      </c>
      <c r="S12" s="56">
        <v>14.0</v>
      </c>
      <c r="T12" s="56">
        <v>15.0</v>
      </c>
      <c r="U12" s="56">
        <v>45.0</v>
      </c>
      <c r="V12" s="56">
        <v>47.0</v>
      </c>
      <c r="W12" s="56">
        <v>19.0</v>
      </c>
      <c r="X12" s="56">
        <v>62.0</v>
      </c>
      <c r="Y12" s="56">
        <v>40.0</v>
      </c>
      <c r="Z12" s="56">
        <v>41.0</v>
      </c>
      <c r="AA12" s="56">
        <v>10.0</v>
      </c>
      <c r="AB12" s="59">
        <v>38.0</v>
      </c>
      <c r="AC12" s="60">
        <v>33.0</v>
      </c>
      <c r="AD12" s="60">
        <v>29.0</v>
      </c>
      <c r="AE12" s="61">
        <v>33.0</v>
      </c>
      <c r="AF12" s="62">
        <v>9.0</v>
      </c>
      <c r="AG12" s="60">
        <v>5.0</v>
      </c>
      <c r="AH12" s="49"/>
      <c r="AI12" s="50">
        <f t="shared" si="7"/>
        <v>1063</v>
      </c>
      <c r="AJ12" s="51">
        <f t="shared" si="8"/>
        <v>36.69230769</v>
      </c>
      <c r="AK12" s="52">
        <f t="shared" si="9"/>
        <v>34.29032258</v>
      </c>
      <c r="AL12" s="53"/>
      <c r="AM12" s="65"/>
      <c r="AN12" s="63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</row>
    <row r="13" ht="17.25" customHeight="1">
      <c r="A13" s="39">
        <v>46102.0</v>
      </c>
      <c r="B13" s="40">
        <f t="shared" si="6"/>
        <v>26</v>
      </c>
      <c r="C13" s="55">
        <v>41.0</v>
      </c>
      <c r="D13" s="56">
        <v>16.0</v>
      </c>
      <c r="E13" s="56">
        <v>126.0</v>
      </c>
      <c r="F13" s="56">
        <v>40.0</v>
      </c>
      <c r="G13" s="56">
        <v>13.0</v>
      </c>
      <c r="H13" s="56">
        <v>43.0</v>
      </c>
      <c r="I13" s="56">
        <v>35.0</v>
      </c>
      <c r="J13" s="66">
        <v>23.0</v>
      </c>
      <c r="K13" s="56">
        <v>31.0</v>
      </c>
      <c r="L13" s="56">
        <v>7.0</v>
      </c>
      <c r="M13" s="56">
        <v>16.0</v>
      </c>
      <c r="N13" s="56">
        <v>18.0</v>
      </c>
      <c r="O13" s="56">
        <v>15.0</v>
      </c>
      <c r="P13" s="56">
        <v>63.0</v>
      </c>
      <c r="Q13" s="67">
        <v>10.0</v>
      </c>
      <c r="R13" s="56">
        <v>20.0</v>
      </c>
      <c r="S13" s="56">
        <v>15.0</v>
      </c>
      <c r="T13" s="56">
        <v>37.0</v>
      </c>
      <c r="U13" s="56">
        <v>48.0</v>
      </c>
      <c r="V13" s="56">
        <v>38.0</v>
      </c>
      <c r="W13" s="56">
        <v>15.0</v>
      </c>
      <c r="X13" s="56">
        <v>78.0</v>
      </c>
      <c r="Y13" s="56">
        <v>34.0</v>
      </c>
      <c r="Z13" s="56">
        <v>31.0</v>
      </c>
      <c r="AA13" s="56">
        <v>7.0</v>
      </c>
      <c r="AB13" s="59">
        <v>29.0</v>
      </c>
      <c r="AC13" s="60">
        <v>20.0</v>
      </c>
      <c r="AD13" s="60">
        <v>23.0</v>
      </c>
      <c r="AE13" s="61">
        <v>31.0</v>
      </c>
      <c r="AF13" s="62">
        <v>23.0</v>
      </c>
      <c r="AG13" s="60">
        <v>18.0</v>
      </c>
      <c r="AH13" s="49"/>
      <c r="AI13" s="50">
        <f t="shared" si="7"/>
        <v>964</v>
      </c>
      <c r="AJ13" s="51">
        <f t="shared" si="8"/>
        <v>32.65384615</v>
      </c>
      <c r="AK13" s="52">
        <f t="shared" si="9"/>
        <v>31.09677419</v>
      </c>
      <c r="AL13" s="53"/>
      <c r="AM13" s="65"/>
      <c r="AN13" s="63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</row>
    <row r="14" ht="17.25" customHeight="1">
      <c r="A14" s="39">
        <v>46095.0</v>
      </c>
      <c r="B14" s="40">
        <f t="shared" si="6"/>
        <v>26</v>
      </c>
      <c r="C14" s="55">
        <v>63.0</v>
      </c>
      <c r="D14" s="56">
        <v>22.0</v>
      </c>
      <c r="E14" s="56">
        <v>127.0</v>
      </c>
      <c r="F14" s="56">
        <v>25.0</v>
      </c>
      <c r="G14" s="56">
        <v>16.0</v>
      </c>
      <c r="H14" s="56">
        <v>60.0</v>
      </c>
      <c r="I14" s="56">
        <v>40.0</v>
      </c>
      <c r="J14" s="66">
        <v>17.0</v>
      </c>
      <c r="K14" s="56">
        <v>28.0</v>
      </c>
      <c r="L14" s="56">
        <v>6.0</v>
      </c>
      <c r="M14" s="56">
        <v>30.0</v>
      </c>
      <c r="N14" s="56">
        <v>15.0</v>
      </c>
      <c r="O14" s="56">
        <v>7.0</v>
      </c>
      <c r="P14" s="56">
        <v>45.0</v>
      </c>
      <c r="Q14" s="67">
        <v>7.0</v>
      </c>
      <c r="R14" s="56">
        <v>13.0</v>
      </c>
      <c r="S14" s="56">
        <v>16.0</v>
      </c>
      <c r="T14" s="56">
        <v>11.0</v>
      </c>
      <c r="U14" s="56">
        <v>36.0</v>
      </c>
      <c r="V14" s="56">
        <v>38.0</v>
      </c>
      <c r="W14" s="56">
        <v>15.0</v>
      </c>
      <c r="X14" s="56">
        <v>81.0</v>
      </c>
      <c r="Y14" s="56">
        <v>43.0</v>
      </c>
      <c r="Z14" s="56">
        <v>36.0</v>
      </c>
      <c r="AA14" s="56">
        <v>6.0</v>
      </c>
      <c r="AB14" s="59">
        <v>27.0</v>
      </c>
      <c r="AC14" s="60">
        <v>20.0</v>
      </c>
      <c r="AD14" s="60">
        <v>30.0</v>
      </c>
      <c r="AE14" s="61">
        <v>34.0</v>
      </c>
      <c r="AF14" s="62">
        <v>19.0</v>
      </c>
      <c r="AG14" s="60">
        <v>21.0</v>
      </c>
      <c r="AH14" s="49"/>
      <c r="AI14" s="50">
        <f t="shared" si="7"/>
        <v>954</v>
      </c>
      <c r="AJ14" s="51">
        <f t="shared" si="8"/>
        <v>31.92307692</v>
      </c>
      <c r="AK14" s="52">
        <f t="shared" si="9"/>
        <v>30.77419355</v>
      </c>
      <c r="AL14" s="53"/>
      <c r="AM14" s="65"/>
      <c r="AN14" s="63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</row>
    <row r="15" ht="17.25" customHeight="1">
      <c r="A15" s="39">
        <v>46088.0</v>
      </c>
      <c r="B15" s="40">
        <f t="shared" si="6"/>
        <v>26</v>
      </c>
      <c r="C15" s="55">
        <v>57.0</v>
      </c>
      <c r="D15" s="56">
        <v>13.0</v>
      </c>
      <c r="E15" s="56">
        <v>144.0</v>
      </c>
      <c r="F15" s="56">
        <v>35.0</v>
      </c>
      <c r="G15" s="56">
        <v>9.0</v>
      </c>
      <c r="H15" s="56">
        <v>40.0</v>
      </c>
      <c r="I15" s="56">
        <v>33.0</v>
      </c>
      <c r="J15" s="66">
        <v>22.0</v>
      </c>
      <c r="K15" s="56">
        <v>18.0</v>
      </c>
      <c r="L15" s="56">
        <v>10.0</v>
      </c>
      <c r="M15" s="56">
        <v>8.0</v>
      </c>
      <c r="N15" s="56">
        <v>11.0</v>
      </c>
      <c r="O15" s="56">
        <v>12.0</v>
      </c>
      <c r="P15" s="56">
        <v>37.0</v>
      </c>
      <c r="Q15" s="67">
        <v>6.0</v>
      </c>
      <c r="R15" s="56">
        <v>12.0</v>
      </c>
      <c r="S15" s="56">
        <v>10.0</v>
      </c>
      <c r="T15" s="56">
        <v>10.0</v>
      </c>
      <c r="U15" s="56">
        <v>37.0</v>
      </c>
      <c r="V15" s="56">
        <v>38.0</v>
      </c>
      <c r="W15" s="56">
        <v>35.0</v>
      </c>
      <c r="X15" s="68">
        <v>67.0</v>
      </c>
      <c r="Y15" s="56">
        <v>34.0</v>
      </c>
      <c r="Z15" s="56">
        <v>28.0</v>
      </c>
      <c r="AA15" s="56">
        <v>3.0</v>
      </c>
      <c r="AB15" s="59">
        <v>40.0</v>
      </c>
      <c r="AC15" s="60">
        <v>25.0</v>
      </c>
      <c r="AD15" s="60">
        <v>27.0</v>
      </c>
      <c r="AE15" s="61">
        <v>30.0</v>
      </c>
      <c r="AF15" s="62">
        <v>16.0</v>
      </c>
      <c r="AG15" s="60">
        <v>17.0</v>
      </c>
      <c r="AH15" s="49"/>
      <c r="AI15" s="50">
        <f t="shared" si="7"/>
        <v>884</v>
      </c>
      <c r="AJ15" s="51">
        <f t="shared" si="8"/>
        <v>29.57692308</v>
      </c>
      <c r="AK15" s="52">
        <f t="shared" si="9"/>
        <v>28.51612903</v>
      </c>
      <c r="AL15" s="53"/>
      <c r="AM15" s="54"/>
      <c r="AN15" s="63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</row>
    <row r="16" ht="17.25" customHeight="1">
      <c r="A16" s="69">
        <v>46081.0</v>
      </c>
      <c r="B16" s="70">
        <f t="shared" si="6"/>
        <v>25</v>
      </c>
      <c r="C16" s="71">
        <v>38.0</v>
      </c>
      <c r="D16" s="66">
        <v>10.0</v>
      </c>
      <c r="E16" s="66">
        <v>103.0</v>
      </c>
      <c r="F16" s="66">
        <v>30.0</v>
      </c>
      <c r="G16" s="66">
        <v>9.0</v>
      </c>
      <c r="H16" s="66">
        <v>43.0</v>
      </c>
      <c r="I16" s="66">
        <v>28.0</v>
      </c>
      <c r="J16" s="66">
        <v>13.0</v>
      </c>
      <c r="K16" s="66">
        <v>26.0</v>
      </c>
      <c r="L16" s="66">
        <v>4.0</v>
      </c>
      <c r="M16" s="66">
        <v>13.0</v>
      </c>
      <c r="N16" s="66">
        <v>6.0</v>
      </c>
      <c r="O16" s="66">
        <v>8.0</v>
      </c>
      <c r="P16" s="66">
        <v>41.0</v>
      </c>
      <c r="Q16" s="67">
        <v>7.0</v>
      </c>
      <c r="R16" s="66">
        <v>12.0</v>
      </c>
      <c r="S16" s="66">
        <v>12.0</v>
      </c>
      <c r="T16" s="66">
        <v>8.0</v>
      </c>
      <c r="U16" s="66">
        <v>12.0</v>
      </c>
      <c r="V16" s="66">
        <v>34.0</v>
      </c>
      <c r="W16" s="66">
        <v>12.0</v>
      </c>
      <c r="X16" s="56"/>
      <c r="Y16" s="66">
        <v>34.0</v>
      </c>
      <c r="Z16" s="66">
        <v>30.0</v>
      </c>
      <c r="AA16" s="66">
        <v>4.0</v>
      </c>
      <c r="AB16" s="72">
        <v>55.0</v>
      </c>
      <c r="AC16" s="73">
        <v>12.0</v>
      </c>
      <c r="AD16" s="73">
        <v>17.0</v>
      </c>
      <c r="AE16" s="74">
        <v>31.0</v>
      </c>
      <c r="AF16" s="75">
        <v>26.0</v>
      </c>
      <c r="AG16" s="73">
        <v>10.0</v>
      </c>
      <c r="AH16" s="76"/>
      <c r="AI16" s="77">
        <f t="shared" si="7"/>
        <v>688</v>
      </c>
      <c r="AJ16" s="78">
        <f t="shared" si="8"/>
        <v>23.68</v>
      </c>
      <c r="AK16" s="79">
        <f t="shared" si="9"/>
        <v>22.93333333</v>
      </c>
      <c r="AL16" s="80"/>
      <c r="AM16" s="81"/>
      <c r="AN16" s="68"/>
    </row>
    <row r="17" ht="17.25" customHeight="1">
      <c r="A17" s="69">
        <v>46074.0</v>
      </c>
      <c r="B17" s="70">
        <f t="shared" si="6"/>
        <v>26</v>
      </c>
      <c r="C17" s="71">
        <v>36.0</v>
      </c>
      <c r="D17" s="66">
        <v>8.0</v>
      </c>
      <c r="E17" s="66">
        <v>86.0</v>
      </c>
      <c r="F17" s="66">
        <v>39.0</v>
      </c>
      <c r="G17" s="66">
        <v>8.0</v>
      </c>
      <c r="H17" s="66">
        <v>32.0</v>
      </c>
      <c r="I17" s="66">
        <v>27.0</v>
      </c>
      <c r="J17" s="66">
        <v>19.0</v>
      </c>
      <c r="K17" s="66">
        <v>20.0</v>
      </c>
      <c r="L17" s="66">
        <v>6.0</v>
      </c>
      <c r="M17" s="66">
        <v>21.0</v>
      </c>
      <c r="N17" s="66">
        <v>5.0</v>
      </c>
      <c r="O17" s="66">
        <v>7.0</v>
      </c>
      <c r="P17" s="66">
        <v>51.0</v>
      </c>
      <c r="Q17" s="67">
        <v>4.0</v>
      </c>
      <c r="R17" s="66">
        <v>11.0</v>
      </c>
      <c r="S17" s="66">
        <v>14.0</v>
      </c>
      <c r="T17" s="66">
        <v>11.0</v>
      </c>
      <c r="U17" s="66">
        <v>27.0</v>
      </c>
      <c r="V17" s="66">
        <v>37.0</v>
      </c>
      <c r="W17" s="66">
        <v>15.0</v>
      </c>
      <c r="X17" s="68">
        <v>51.0</v>
      </c>
      <c r="Y17" s="66">
        <v>29.0</v>
      </c>
      <c r="Z17" s="66">
        <v>30.0</v>
      </c>
      <c r="AA17" s="66">
        <v>3.0</v>
      </c>
      <c r="AB17" s="72">
        <v>25.0</v>
      </c>
      <c r="AC17" s="73">
        <v>18.0</v>
      </c>
      <c r="AD17" s="73">
        <v>25.0</v>
      </c>
      <c r="AE17" s="74">
        <v>26.0</v>
      </c>
      <c r="AF17" s="75">
        <v>27.0</v>
      </c>
      <c r="AG17" s="73">
        <v>8.0</v>
      </c>
      <c r="AH17" s="76"/>
      <c r="AI17" s="77">
        <f t="shared" si="7"/>
        <v>726</v>
      </c>
      <c r="AJ17" s="78">
        <f t="shared" si="8"/>
        <v>23.92307692</v>
      </c>
      <c r="AK17" s="79">
        <f t="shared" si="9"/>
        <v>23.41935484</v>
      </c>
      <c r="AL17" s="80"/>
      <c r="AM17" s="81"/>
      <c r="AN17" s="68"/>
    </row>
    <row r="18" ht="17.25" customHeight="1">
      <c r="A18" s="69">
        <v>46067.0</v>
      </c>
      <c r="B18" s="70">
        <f t="shared" si="6"/>
        <v>26</v>
      </c>
      <c r="C18" s="71">
        <v>31.0</v>
      </c>
      <c r="D18" s="66">
        <v>14.0</v>
      </c>
      <c r="E18" s="66">
        <v>60.0</v>
      </c>
      <c r="F18" s="66">
        <v>25.0</v>
      </c>
      <c r="G18" s="66">
        <v>5.0</v>
      </c>
      <c r="H18" s="66">
        <v>21.0</v>
      </c>
      <c r="I18" s="66">
        <v>36.0</v>
      </c>
      <c r="J18" s="66">
        <v>22.0</v>
      </c>
      <c r="K18" s="66">
        <v>15.0</v>
      </c>
      <c r="L18" s="66">
        <v>2.0</v>
      </c>
      <c r="M18" s="66">
        <v>16.0</v>
      </c>
      <c r="N18" s="66">
        <v>5.0</v>
      </c>
      <c r="O18" s="66">
        <v>9.0</v>
      </c>
      <c r="P18" s="66">
        <v>196.0</v>
      </c>
      <c r="Q18" s="67">
        <v>3.0</v>
      </c>
      <c r="R18" s="66">
        <v>11.0</v>
      </c>
      <c r="S18" s="66">
        <v>15.0</v>
      </c>
      <c r="T18" s="66">
        <v>9.0</v>
      </c>
      <c r="U18" s="66">
        <v>35.0</v>
      </c>
      <c r="V18" s="66">
        <v>31.0</v>
      </c>
      <c r="W18" s="66">
        <v>11.0</v>
      </c>
      <c r="X18" s="66">
        <v>183.0</v>
      </c>
      <c r="Y18" s="66">
        <v>29.0</v>
      </c>
      <c r="Z18" s="66">
        <v>24.0</v>
      </c>
      <c r="AA18" s="66">
        <v>4.0</v>
      </c>
      <c r="AB18" s="72">
        <v>18.0</v>
      </c>
      <c r="AC18" s="73">
        <v>9.0</v>
      </c>
      <c r="AD18" s="73">
        <v>23.0</v>
      </c>
      <c r="AE18" s="74">
        <v>22.0</v>
      </c>
      <c r="AF18" s="75">
        <v>22.0</v>
      </c>
      <c r="AG18" s="73">
        <v>12.0</v>
      </c>
      <c r="AH18" s="76"/>
      <c r="AI18" s="77">
        <f t="shared" si="7"/>
        <v>918</v>
      </c>
      <c r="AJ18" s="78">
        <f t="shared" si="8"/>
        <v>31.92307692</v>
      </c>
      <c r="AK18" s="79">
        <f t="shared" si="9"/>
        <v>29.61290323</v>
      </c>
      <c r="AL18" s="80"/>
      <c r="AM18" s="81"/>
      <c r="AN18" s="68"/>
    </row>
    <row r="19" ht="17.25" customHeight="1">
      <c r="A19" s="69">
        <v>46060.0</v>
      </c>
      <c r="B19" s="70">
        <f t="shared" si="6"/>
        <v>25</v>
      </c>
      <c r="C19" s="71">
        <v>29.0</v>
      </c>
      <c r="D19" s="66">
        <v>7.0</v>
      </c>
      <c r="E19" s="66">
        <v>787.0</v>
      </c>
      <c r="F19" s="66">
        <v>12.0</v>
      </c>
      <c r="G19" s="66">
        <v>9.0</v>
      </c>
      <c r="H19" s="66">
        <v>19.0</v>
      </c>
      <c r="I19" s="66">
        <v>23.0</v>
      </c>
      <c r="J19" s="66">
        <v>17.0</v>
      </c>
      <c r="K19" s="66">
        <v>8.0</v>
      </c>
      <c r="L19" s="66">
        <v>2.0</v>
      </c>
      <c r="M19" s="66">
        <v>5.0</v>
      </c>
      <c r="N19" s="66">
        <v>5.0</v>
      </c>
      <c r="O19" s="66">
        <v>6.0</v>
      </c>
      <c r="P19" s="66"/>
      <c r="Q19" s="67">
        <v>4.0</v>
      </c>
      <c r="R19" s="66">
        <v>7.0</v>
      </c>
      <c r="S19" s="66">
        <v>16.0</v>
      </c>
      <c r="T19" s="66">
        <v>9.0</v>
      </c>
      <c r="U19" s="66">
        <v>28.0</v>
      </c>
      <c r="V19" s="66">
        <v>47.0</v>
      </c>
      <c r="W19" s="66">
        <v>11.0</v>
      </c>
      <c r="X19" s="66">
        <v>77.0</v>
      </c>
      <c r="Y19" s="66">
        <v>34.0</v>
      </c>
      <c r="Z19" s="66">
        <v>43.0</v>
      </c>
      <c r="AA19" s="66">
        <v>8.0</v>
      </c>
      <c r="AB19" s="72">
        <v>22.0</v>
      </c>
      <c r="AC19" s="73">
        <v>15.0</v>
      </c>
      <c r="AD19" s="73">
        <v>15.0</v>
      </c>
      <c r="AE19" s="74">
        <v>22.0</v>
      </c>
      <c r="AF19" s="75">
        <v>24.0</v>
      </c>
      <c r="AG19" s="73">
        <v>9.0</v>
      </c>
      <c r="AH19" s="76">
        <v>45.0</v>
      </c>
      <c r="AI19" s="77">
        <f t="shared" si="7"/>
        <v>1365</v>
      </c>
      <c r="AJ19" s="78">
        <f t="shared" si="8"/>
        <v>49.4</v>
      </c>
      <c r="AK19" s="79">
        <f t="shared" si="9"/>
        <v>44.03225806</v>
      </c>
      <c r="AL19" s="80"/>
      <c r="AM19" s="81"/>
      <c r="AN19" s="68" t="s">
        <v>43</v>
      </c>
    </row>
    <row r="20" ht="17.25" customHeight="1">
      <c r="A20" s="69">
        <v>46053.0</v>
      </c>
      <c r="B20" s="70">
        <f t="shared" ref="B20:B31" si="10">COUNT(C20:AB20)+AH20</f>
        <v>25</v>
      </c>
      <c r="C20" s="71">
        <v>34.0</v>
      </c>
      <c r="D20" s="66">
        <v>10.0</v>
      </c>
      <c r="E20" s="66">
        <v>105.0</v>
      </c>
      <c r="F20" s="66">
        <v>13.0</v>
      </c>
      <c r="G20" s="66">
        <v>8.0</v>
      </c>
      <c r="H20" s="66">
        <v>26.0</v>
      </c>
      <c r="I20" s="66">
        <v>17.0</v>
      </c>
      <c r="J20" s="66">
        <v>9.0</v>
      </c>
      <c r="K20" s="66">
        <v>16.0</v>
      </c>
      <c r="L20" s="66">
        <v>4.0</v>
      </c>
      <c r="M20" s="66">
        <v>9.0</v>
      </c>
      <c r="N20" s="66">
        <v>11.0</v>
      </c>
      <c r="O20" s="66">
        <v>11.0</v>
      </c>
      <c r="P20" s="66"/>
      <c r="Q20" s="67">
        <v>5.0</v>
      </c>
      <c r="R20" s="66">
        <v>7.0</v>
      </c>
      <c r="S20" s="66">
        <v>10.0</v>
      </c>
      <c r="T20" s="66">
        <v>9.0</v>
      </c>
      <c r="U20" s="66">
        <v>18.0</v>
      </c>
      <c r="V20" s="66">
        <v>30.0</v>
      </c>
      <c r="W20" s="66">
        <v>2.0</v>
      </c>
      <c r="X20" s="66">
        <v>48.0</v>
      </c>
      <c r="Y20" s="66">
        <v>19.0</v>
      </c>
      <c r="Z20" s="66">
        <v>32.0</v>
      </c>
      <c r="AA20" s="66">
        <v>3.0</v>
      </c>
      <c r="AB20" s="72">
        <v>14.0</v>
      </c>
      <c r="AC20" s="73">
        <v>6.0</v>
      </c>
      <c r="AD20" s="73">
        <v>23.0</v>
      </c>
      <c r="AE20" s="74">
        <v>15.0</v>
      </c>
      <c r="AF20" s="75">
        <v>27.0</v>
      </c>
      <c r="AG20" s="73">
        <v>14.0</v>
      </c>
      <c r="AH20" s="76"/>
      <c r="AI20" s="77">
        <f t="shared" si="7"/>
        <v>555</v>
      </c>
      <c r="AJ20" s="78">
        <f t="shared" si="8"/>
        <v>18.8</v>
      </c>
      <c r="AK20" s="79">
        <f t="shared" si="9"/>
        <v>18.5</v>
      </c>
      <c r="AL20" s="80"/>
      <c r="AM20" s="81"/>
      <c r="AN20" s="68" t="s">
        <v>44</v>
      </c>
    </row>
    <row r="21" ht="17.25" customHeight="1">
      <c r="A21" s="69">
        <v>46046.0</v>
      </c>
      <c r="B21" s="70">
        <f t="shared" si="10"/>
        <v>24</v>
      </c>
      <c r="C21" s="71">
        <v>42.0</v>
      </c>
      <c r="D21" s="66">
        <v>8.0</v>
      </c>
      <c r="E21" s="66">
        <v>96.0</v>
      </c>
      <c r="F21" s="66">
        <v>20.0</v>
      </c>
      <c r="G21" s="66">
        <v>10.0</v>
      </c>
      <c r="H21" s="66">
        <v>21.0</v>
      </c>
      <c r="I21" s="66">
        <v>27.0</v>
      </c>
      <c r="J21" s="66">
        <v>17.0</v>
      </c>
      <c r="K21" s="66">
        <v>19.0</v>
      </c>
      <c r="L21" s="66">
        <v>5.0</v>
      </c>
      <c r="M21" s="66">
        <v>8.0</v>
      </c>
      <c r="N21" s="66">
        <v>6.0</v>
      </c>
      <c r="O21" s="66"/>
      <c r="P21" s="66"/>
      <c r="Q21" s="67">
        <v>6.0</v>
      </c>
      <c r="R21" s="66">
        <v>8.0</v>
      </c>
      <c r="S21" s="66">
        <v>8.0</v>
      </c>
      <c r="T21" s="66">
        <v>9.0</v>
      </c>
      <c r="U21" s="66">
        <v>22.0</v>
      </c>
      <c r="V21" s="66">
        <v>27.0</v>
      </c>
      <c r="W21" s="66">
        <v>7.0</v>
      </c>
      <c r="X21" s="66">
        <v>61.0</v>
      </c>
      <c r="Y21" s="66">
        <v>12.0</v>
      </c>
      <c r="Z21" s="66">
        <v>17.0</v>
      </c>
      <c r="AA21" s="66">
        <v>4.0</v>
      </c>
      <c r="AB21" s="72">
        <v>17.0</v>
      </c>
      <c r="AC21" s="73">
        <v>16.0</v>
      </c>
      <c r="AD21" s="73">
        <v>18.0</v>
      </c>
      <c r="AE21" s="74">
        <v>20.0</v>
      </c>
      <c r="AF21" s="75">
        <v>24.0</v>
      </c>
      <c r="AG21" s="73">
        <v>11.0</v>
      </c>
      <c r="AH21" s="76"/>
      <c r="AI21" s="77">
        <f t="shared" si="7"/>
        <v>566</v>
      </c>
      <c r="AJ21" s="78">
        <f t="shared" si="8"/>
        <v>19.875</v>
      </c>
      <c r="AK21" s="79">
        <f t="shared" si="9"/>
        <v>19.51724138</v>
      </c>
      <c r="AL21" s="80"/>
      <c r="AM21" s="81"/>
      <c r="AN21" s="68"/>
    </row>
    <row r="22" ht="17.25" customHeight="1">
      <c r="A22" s="69">
        <v>46039.0</v>
      </c>
      <c r="B22" s="70">
        <f t="shared" si="10"/>
        <v>24</v>
      </c>
      <c r="C22" s="71">
        <v>29.0</v>
      </c>
      <c r="D22" s="66">
        <v>13.0</v>
      </c>
      <c r="E22" s="66">
        <v>138.0</v>
      </c>
      <c r="F22" s="66">
        <v>33.0</v>
      </c>
      <c r="G22" s="66">
        <v>11.0</v>
      </c>
      <c r="H22" s="66">
        <v>49.0</v>
      </c>
      <c r="I22" s="66">
        <v>29.0</v>
      </c>
      <c r="J22" s="66">
        <v>19.0</v>
      </c>
      <c r="K22" s="66">
        <v>20.0</v>
      </c>
      <c r="L22" s="66">
        <v>20.0</v>
      </c>
      <c r="M22" s="66">
        <v>10.0</v>
      </c>
      <c r="N22" s="66">
        <v>10.0</v>
      </c>
      <c r="O22" s="66"/>
      <c r="P22" s="66"/>
      <c r="Q22" s="67">
        <v>3.0</v>
      </c>
      <c r="R22" s="66">
        <v>9.0</v>
      </c>
      <c r="S22" s="66">
        <v>8.0</v>
      </c>
      <c r="T22" s="66">
        <v>10.0</v>
      </c>
      <c r="U22" s="66">
        <v>23.0</v>
      </c>
      <c r="V22" s="66">
        <v>31.0</v>
      </c>
      <c r="W22" s="66">
        <v>12.0</v>
      </c>
      <c r="X22" s="66">
        <v>54.0</v>
      </c>
      <c r="Y22" s="66">
        <v>14.0</v>
      </c>
      <c r="Z22" s="66">
        <v>25.0</v>
      </c>
      <c r="AA22" s="66">
        <v>4.0</v>
      </c>
      <c r="AB22" s="72">
        <v>17.0</v>
      </c>
      <c r="AC22" s="73">
        <v>12.0</v>
      </c>
      <c r="AD22" s="73">
        <v>20.0</v>
      </c>
      <c r="AE22" s="74">
        <v>16.0</v>
      </c>
      <c r="AF22" s="75">
        <v>21.0</v>
      </c>
      <c r="AG22" s="73">
        <v>5.0</v>
      </c>
      <c r="AH22" s="76"/>
      <c r="AI22" s="77">
        <f t="shared" si="7"/>
        <v>665</v>
      </c>
      <c r="AJ22" s="78">
        <f t="shared" si="8"/>
        <v>24.625</v>
      </c>
      <c r="AK22" s="79">
        <f t="shared" si="9"/>
        <v>22.93103448</v>
      </c>
      <c r="AL22" s="80"/>
      <c r="AM22" s="81"/>
      <c r="AN22" s="68"/>
    </row>
    <row r="23" ht="17.25" customHeight="1">
      <c r="A23" s="69">
        <v>46032.0</v>
      </c>
      <c r="B23" s="70">
        <f t="shared" si="10"/>
        <v>22</v>
      </c>
      <c r="C23" s="71">
        <v>29.0</v>
      </c>
      <c r="D23" s="66">
        <v>7.0</v>
      </c>
      <c r="E23" s="66">
        <v>159.0</v>
      </c>
      <c r="F23" s="66">
        <v>33.0</v>
      </c>
      <c r="G23" s="66">
        <v>14.0</v>
      </c>
      <c r="H23" s="66">
        <v>41.0</v>
      </c>
      <c r="I23" s="66">
        <v>25.0</v>
      </c>
      <c r="J23" s="66">
        <v>18.0</v>
      </c>
      <c r="K23" s="66">
        <v>16.0</v>
      </c>
      <c r="L23" s="66"/>
      <c r="M23" s="66">
        <v>14.0</v>
      </c>
      <c r="N23" s="66">
        <v>9.0</v>
      </c>
      <c r="O23" s="66"/>
      <c r="P23" s="66"/>
      <c r="Q23" s="67">
        <v>3.0</v>
      </c>
      <c r="R23" s="66">
        <v>10.0</v>
      </c>
      <c r="S23" s="66">
        <v>9.0</v>
      </c>
      <c r="T23" s="66"/>
      <c r="U23" s="66">
        <v>23.0</v>
      </c>
      <c r="V23" s="66">
        <v>33.0</v>
      </c>
      <c r="W23" s="66">
        <v>5.0</v>
      </c>
      <c r="X23" s="66">
        <v>48.0</v>
      </c>
      <c r="Y23" s="66">
        <v>40.0</v>
      </c>
      <c r="Z23" s="66">
        <v>31.0</v>
      </c>
      <c r="AA23" s="66">
        <v>3.0</v>
      </c>
      <c r="AB23" s="72">
        <v>27.0</v>
      </c>
      <c r="AC23" s="73">
        <v>11.0</v>
      </c>
      <c r="AD23" s="73">
        <v>19.0</v>
      </c>
      <c r="AE23" s="74">
        <v>22.0</v>
      </c>
      <c r="AF23" s="75">
        <v>15.0</v>
      </c>
      <c r="AG23" s="73">
        <v>6.0</v>
      </c>
      <c r="AH23" s="76"/>
      <c r="AI23" s="77">
        <f t="shared" si="7"/>
        <v>670</v>
      </c>
      <c r="AJ23" s="78">
        <f t="shared" si="8"/>
        <v>27.13636364</v>
      </c>
      <c r="AK23" s="79">
        <f t="shared" si="9"/>
        <v>24.81481481</v>
      </c>
      <c r="AL23" s="80"/>
      <c r="AM23" s="81"/>
      <c r="AN23" s="68" t="s">
        <v>45</v>
      </c>
    </row>
    <row r="24" ht="17.25" customHeight="1">
      <c r="A24" s="69">
        <v>46025.0</v>
      </c>
      <c r="B24" s="70">
        <f t="shared" si="10"/>
        <v>24</v>
      </c>
      <c r="C24" s="71">
        <v>25.0</v>
      </c>
      <c r="D24" s="66">
        <v>12.0</v>
      </c>
      <c r="E24" s="66">
        <v>111.0</v>
      </c>
      <c r="F24" s="66">
        <v>35.0</v>
      </c>
      <c r="G24" s="66">
        <v>16.0</v>
      </c>
      <c r="H24" s="66">
        <v>37.0</v>
      </c>
      <c r="I24" s="66">
        <v>20.0</v>
      </c>
      <c r="J24" s="66">
        <v>19.0</v>
      </c>
      <c r="K24" s="66">
        <v>13.0</v>
      </c>
      <c r="L24" s="66">
        <v>9.0</v>
      </c>
      <c r="M24" s="66">
        <v>4.0</v>
      </c>
      <c r="N24" s="66">
        <v>9.0</v>
      </c>
      <c r="O24" s="66"/>
      <c r="P24" s="66"/>
      <c r="Q24" s="67">
        <v>3.0</v>
      </c>
      <c r="R24" s="66">
        <v>9.0</v>
      </c>
      <c r="S24" s="66">
        <v>4.0</v>
      </c>
      <c r="T24" s="66">
        <v>10.0</v>
      </c>
      <c r="U24" s="66">
        <v>36.0</v>
      </c>
      <c r="V24" s="66">
        <v>47.0</v>
      </c>
      <c r="W24" s="66">
        <v>10.0</v>
      </c>
      <c r="X24" s="66">
        <v>50.0</v>
      </c>
      <c r="Y24" s="66">
        <v>25.0</v>
      </c>
      <c r="Z24" s="66">
        <v>24.0</v>
      </c>
      <c r="AA24" s="66">
        <v>11.0</v>
      </c>
      <c r="AB24" s="72">
        <v>29.0</v>
      </c>
      <c r="AC24" s="73">
        <v>14.0</v>
      </c>
      <c r="AD24" s="73">
        <v>18.0</v>
      </c>
      <c r="AE24" s="74">
        <v>20.0</v>
      </c>
      <c r="AF24" s="75">
        <v>13.0</v>
      </c>
      <c r="AG24" s="73">
        <v>10.0</v>
      </c>
      <c r="AH24" s="76"/>
      <c r="AI24" s="77">
        <f t="shared" si="7"/>
        <v>643</v>
      </c>
      <c r="AJ24" s="78">
        <f t="shared" si="8"/>
        <v>23.66666667</v>
      </c>
      <c r="AK24" s="79">
        <f t="shared" si="9"/>
        <v>22.17241379</v>
      </c>
      <c r="AL24" s="80"/>
      <c r="AM24" s="81"/>
      <c r="AN24" s="68"/>
    </row>
    <row r="25" ht="17.25" customHeight="1">
      <c r="A25" s="69">
        <v>46023.0</v>
      </c>
      <c r="B25" s="70">
        <f t="shared" si="10"/>
        <v>11</v>
      </c>
      <c r="C25" s="71">
        <v>39.0</v>
      </c>
      <c r="D25" s="66"/>
      <c r="E25" s="66">
        <v>140.0</v>
      </c>
      <c r="F25" s="66">
        <v>34.0</v>
      </c>
      <c r="G25" s="66">
        <v>34.0</v>
      </c>
      <c r="H25" s="66">
        <v>46.0</v>
      </c>
      <c r="I25" s="66">
        <v>41.0</v>
      </c>
      <c r="J25" s="66"/>
      <c r="K25" s="66">
        <v>34.0</v>
      </c>
      <c r="L25" s="66"/>
      <c r="M25" s="66">
        <v>23.0</v>
      </c>
      <c r="N25" s="66"/>
      <c r="O25" s="66"/>
      <c r="P25" s="66"/>
      <c r="Q25" s="67"/>
      <c r="R25" s="66"/>
      <c r="S25" s="66"/>
      <c r="T25" s="66"/>
      <c r="U25" s="66"/>
      <c r="V25" s="66">
        <v>52.0</v>
      </c>
      <c r="W25" s="66"/>
      <c r="X25" s="66"/>
      <c r="Y25" s="66">
        <v>24.0</v>
      </c>
      <c r="Z25" s="66">
        <v>16.0</v>
      </c>
      <c r="AA25" s="66"/>
      <c r="AB25" s="72"/>
      <c r="AC25" s="73">
        <v>16.0</v>
      </c>
      <c r="AD25" s="73"/>
      <c r="AE25" s="74">
        <v>91.0</v>
      </c>
      <c r="AF25" s="75">
        <v>27.0</v>
      </c>
      <c r="AG25" s="73"/>
      <c r="AH25" s="76"/>
      <c r="AI25" s="77">
        <f t="shared" si="7"/>
        <v>617</v>
      </c>
      <c r="AJ25" s="78">
        <f t="shared" si="8"/>
        <v>43.90909091</v>
      </c>
      <c r="AK25" s="79">
        <f t="shared" si="9"/>
        <v>44.07142857</v>
      </c>
      <c r="AL25" s="80"/>
      <c r="AM25" s="81"/>
      <c r="AN25" s="68" t="s">
        <v>46</v>
      </c>
    </row>
    <row r="26" ht="17.25" customHeight="1">
      <c r="A26" s="69">
        <v>46018.0</v>
      </c>
      <c r="B26" s="70">
        <f t="shared" si="10"/>
        <v>24</v>
      </c>
      <c r="C26" s="71">
        <v>68.0</v>
      </c>
      <c r="D26" s="66">
        <v>16.0</v>
      </c>
      <c r="E26" s="66">
        <v>150.0</v>
      </c>
      <c r="F26" s="66">
        <v>42.0</v>
      </c>
      <c r="G26" s="66">
        <v>17.0</v>
      </c>
      <c r="H26" s="66">
        <v>61.0</v>
      </c>
      <c r="I26" s="66">
        <v>49.0</v>
      </c>
      <c r="J26" s="66">
        <v>48.0</v>
      </c>
      <c r="K26" s="66">
        <v>35.0</v>
      </c>
      <c r="L26" s="66">
        <v>7.0</v>
      </c>
      <c r="M26" s="66">
        <v>10.0</v>
      </c>
      <c r="N26" s="66">
        <v>10.0</v>
      </c>
      <c r="O26" s="66"/>
      <c r="P26" s="66"/>
      <c r="Q26" s="67">
        <v>3.0</v>
      </c>
      <c r="R26" s="66">
        <v>18.0</v>
      </c>
      <c r="S26" s="66">
        <v>11.0</v>
      </c>
      <c r="T26" s="66">
        <v>14.0</v>
      </c>
      <c r="U26" s="66">
        <v>49.0</v>
      </c>
      <c r="V26" s="66">
        <v>37.0</v>
      </c>
      <c r="W26" s="66">
        <v>33.0</v>
      </c>
      <c r="X26" s="66">
        <v>60.0</v>
      </c>
      <c r="Y26" s="66">
        <v>32.0</v>
      </c>
      <c r="Z26" s="66">
        <v>35.0</v>
      </c>
      <c r="AA26" s="66">
        <v>13.0</v>
      </c>
      <c r="AB26" s="72">
        <v>26.0</v>
      </c>
      <c r="AC26" s="73">
        <v>19.0</v>
      </c>
      <c r="AD26" s="73">
        <v>38.0</v>
      </c>
      <c r="AE26" s="74">
        <v>17.0</v>
      </c>
      <c r="AF26" s="75">
        <v>23.0</v>
      </c>
      <c r="AG26" s="73">
        <v>10.0</v>
      </c>
      <c r="AH26" s="76"/>
      <c r="AI26" s="77">
        <f t="shared" si="7"/>
        <v>951</v>
      </c>
      <c r="AJ26" s="78">
        <f t="shared" si="8"/>
        <v>35.16666667</v>
      </c>
      <c r="AK26" s="79">
        <f t="shared" si="9"/>
        <v>32.79310345</v>
      </c>
      <c r="AL26" s="80"/>
      <c r="AM26" s="81"/>
      <c r="AN26" s="68"/>
    </row>
    <row r="27" ht="17.25" customHeight="1">
      <c r="A27" s="69">
        <v>46011.0</v>
      </c>
      <c r="B27" s="70">
        <f t="shared" si="10"/>
        <v>24</v>
      </c>
      <c r="C27" s="71">
        <v>41.0</v>
      </c>
      <c r="D27" s="66">
        <v>10.0</v>
      </c>
      <c r="E27" s="66">
        <v>169.0</v>
      </c>
      <c r="F27" s="66">
        <v>31.0</v>
      </c>
      <c r="G27" s="66">
        <v>17.0</v>
      </c>
      <c r="H27" s="66">
        <v>46.0</v>
      </c>
      <c r="I27" s="66">
        <v>33.0</v>
      </c>
      <c r="J27" s="66">
        <v>19.0</v>
      </c>
      <c r="K27" s="66">
        <v>18.0</v>
      </c>
      <c r="L27" s="66">
        <v>4.0</v>
      </c>
      <c r="M27" s="66">
        <v>8.0</v>
      </c>
      <c r="N27" s="66">
        <v>12.0</v>
      </c>
      <c r="O27" s="66"/>
      <c r="P27" s="66"/>
      <c r="Q27" s="67">
        <v>3.0</v>
      </c>
      <c r="R27" s="66">
        <v>14.0</v>
      </c>
      <c r="S27" s="66">
        <v>12.0</v>
      </c>
      <c r="T27" s="66">
        <v>8.0</v>
      </c>
      <c r="U27" s="66">
        <v>35.0</v>
      </c>
      <c r="V27" s="66">
        <v>27.0</v>
      </c>
      <c r="W27" s="66">
        <v>10.0</v>
      </c>
      <c r="X27" s="66">
        <v>100.0</v>
      </c>
      <c r="Y27" s="66">
        <v>41.0</v>
      </c>
      <c r="Z27" s="66">
        <v>33.0</v>
      </c>
      <c r="AA27" s="66">
        <v>4.0</v>
      </c>
      <c r="AB27" s="72">
        <v>19.0</v>
      </c>
      <c r="AC27" s="73">
        <v>14.0</v>
      </c>
      <c r="AD27" s="73">
        <v>21.0</v>
      </c>
      <c r="AE27" s="74">
        <v>10.0</v>
      </c>
      <c r="AF27" s="75">
        <v>23.0</v>
      </c>
      <c r="AG27" s="73">
        <v>9.0</v>
      </c>
      <c r="AH27" s="76"/>
      <c r="AI27" s="77">
        <f t="shared" si="7"/>
        <v>791</v>
      </c>
      <c r="AJ27" s="78">
        <f t="shared" si="8"/>
        <v>29.75</v>
      </c>
      <c r="AK27" s="79">
        <f t="shared" si="9"/>
        <v>27.27586207</v>
      </c>
      <c r="AL27" s="80"/>
      <c r="AM27" s="81"/>
      <c r="AN27" s="68"/>
    </row>
    <row r="28" ht="17.25" customHeight="1">
      <c r="A28" s="69">
        <v>46004.0</v>
      </c>
      <c r="B28" s="70">
        <f t="shared" si="10"/>
        <v>24</v>
      </c>
      <c r="C28" s="71">
        <v>43.0</v>
      </c>
      <c r="D28" s="66">
        <v>10.0</v>
      </c>
      <c r="E28" s="66">
        <v>98.0</v>
      </c>
      <c r="F28" s="66">
        <v>94.0</v>
      </c>
      <c r="G28" s="66">
        <v>14.0</v>
      </c>
      <c r="H28" s="66">
        <v>37.0</v>
      </c>
      <c r="I28" s="66">
        <v>36.0</v>
      </c>
      <c r="J28" s="66">
        <v>21.0</v>
      </c>
      <c r="K28" s="66">
        <v>21.0</v>
      </c>
      <c r="L28" s="66">
        <v>10.0</v>
      </c>
      <c r="M28" s="66">
        <v>6.0</v>
      </c>
      <c r="N28" s="66">
        <v>5.0</v>
      </c>
      <c r="O28" s="66"/>
      <c r="P28" s="66"/>
      <c r="Q28" s="67">
        <v>8.0</v>
      </c>
      <c r="R28" s="66">
        <v>8.0</v>
      </c>
      <c r="S28" s="66">
        <v>12.0</v>
      </c>
      <c r="T28" s="66">
        <v>11.0</v>
      </c>
      <c r="U28" s="66">
        <v>32.0</v>
      </c>
      <c r="V28" s="66">
        <v>42.0</v>
      </c>
      <c r="W28" s="66">
        <v>6.0</v>
      </c>
      <c r="X28" s="66">
        <v>46.0</v>
      </c>
      <c r="Y28" s="66">
        <v>21.0</v>
      </c>
      <c r="Z28" s="66">
        <v>26.0</v>
      </c>
      <c r="AA28" s="66">
        <v>4.0</v>
      </c>
      <c r="AB28" s="72">
        <v>21.0</v>
      </c>
      <c r="AC28" s="73">
        <v>26.0</v>
      </c>
      <c r="AD28" s="73">
        <v>32.0</v>
      </c>
      <c r="AE28" s="74">
        <v>34.0</v>
      </c>
      <c r="AF28" s="75">
        <v>16.0</v>
      </c>
      <c r="AG28" s="73">
        <v>5.0</v>
      </c>
      <c r="AH28" s="76"/>
      <c r="AI28" s="77">
        <f t="shared" si="7"/>
        <v>745</v>
      </c>
      <c r="AJ28" s="78">
        <f t="shared" si="8"/>
        <v>26.33333333</v>
      </c>
      <c r="AK28" s="79">
        <f t="shared" si="9"/>
        <v>25.68965517</v>
      </c>
      <c r="AL28" s="80"/>
      <c r="AM28" s="81"/>
      <c r="AN28" s="68" t="s">
        <v>47</v>
      </c>
    </row>
    <row r="29" ht="17.25" customHeight="1">
      <c r="A29" s="69">
        <v>45997.0</v>
      </c>
      <c r="B29" s="70">
        <f t="shared" si="10"/>
        <v>24</v>
      </c>
      <c r="C29" s="71">
        <v>57.0</v>
      </c>
      <c r="D29" s="66">
        <v>16.0</v>
      </c>
      <c r="E29" s="66">
        <v>333.0</v>
      </c>
      <c r="F29" s="66">
        <v>51.0</v>
      </c>
      <c r="G29" s="66">
        <v>19.0</v>
      </c>
      <c r="H29" s="66">
        <v>57.0</v>
      </c>
      <c r="I29" s="66">
        <v>60.0</v>
      </c>
      <c r="J29" s="66">
        <v>26.0</v>
      </c>
      <c r="K29" s="66">
        <v>24.0</v>
      </c>
      <c r="L29" s="66">
        <v>14.0</v>
      </c>
      <c r="M29" s="66">
        <v>21.0</v>
      </c>
      <c r="N29" s="66">
        <v>19.0</v>
      </c>
      <c r="O29" s="66"/>
      <c r="P29" s="66"/>
      <c r="Q29" s="67">
        <v>7.0</v>
      </c>
      <c r="R29" s="66">
        <v>18.0</v>
      </c>
      <c r="S29" s="66">
        <v>15.0</v>
      </c>
      <c r="T29" s="66">
        <v>18.0</v>
      </c>
      <c r="U29" s="66">
        <v>59.0</v>
      </c>
      <c r="V29" s="66">
        <v>57.0</v>
      </c>
      <c r="W29" s="66">
        <v>9.0</v>
      </c>
      <c r="X29" s="66">
        <v>76.0</v>
      </c>
      <c r="Y29" s="66">
        <v>52.0</v>
      </c>
      <c r="Z29" s="66">
        <v>34.0</v>
      </c>
      <c r="AA29" s="66">
        <v>11.0</v>
      </c>
      <c r="AB29" s="72">
        <v>35.0</v>
      </c>
      <c r="AC29" s="73">
        <v>32.0</v>
      </c>
      <c r="AD29" s="73">
        <v>34.0</v>
      </c>
      <c r="AE29" s="74">
        <v>33.0</v>
      </c>
      <c r="AF29" s="75">
        <v>14.0</v>
      </c>
      <c r="AG29" s="73">
        <v>13.0</v>
      </c>
      <c r="AH29" s="76"/>
      <c r="AI29" s="77">
        <f t="shared" si="7"/>
        <v>1214</v>
      </c>
      <c r="AJ29" s="78">
        <f t="shared" si="8"/>
        <v>45.33333333</v>
      </c>
      <c r="AK29" s="79">
        <f t="shared" si="9"/>
        <v>41.86206897</v>
      </c>
      <c r="AL29" s="80"/>
      <c r="AM29" s="81"/>
      <c r="AN29" s="68" t="s">
        <v>48</v>
      </c>
    </row>
    <row r="30" ht="17.25" customHeight="1">
      <c r="A30" s="69">
        <v>45990.0</v>
      </c>
      <c r="B30" s="70">
        <f t="shared" si="10"/>
        <v>24</v>
      </c>
      <c r="C30" s="71">
        <v>47.0</v>
      </c>
      <c r="D30" s="66">
        <v>11.0</v>
      </c>
      <c r="E30" s="66">
        <v>160.0</v>
      </c>
      <c r="F30" s="66">
        <v>50.0</v>
      </c>
      <c r="G30" s="66">
        <v>9.0</v>
      </c>
      <c r="H30" s="66">
        <v>57.0</v>
      </c>
      <c r="I30" s="66">
        <v>41.0</v>
      </c>
      <c r="J30" s="66">
        <v>21.0</v>
      </c>
      <c r="K30" s="66">
        <v>43.0</v>
      </c>
      <c r="L30" s="66">
        <v>11.0</v>
      </c>
      <c r="M30" s="66">
        <v>10.0</v>
      </c>
      <c r="N30" s="66">
        <v>11.0</v>
      </c>
      <c r="O30" s="66"/>
      <c r="P30" s="66"/>
      <c r="Q30" s="67">
        <v>4.0</v>
      </c>
      <c r="R30" s="66">
        <v>21.0</v>
      </c>
      <c r="S30" s="66">
        <v>10.0</v>
      </c>
      <c r="T30" s="66">
        <v>16.0</v>
      </c>
      <c r="U30" s="66">
        <v>35.0</v>
      </c>
      <c r="V30" s="66">
        <v>38.0</v>
      </c>
      <c r="W30" s="66">
        <v>12.0</v>
      </c>
      <c r="X30" s="66">
        <v>91.0</v>
      </c>
      <c r="Y30" s="66">
        <v>56.0</v>
      </c>
      <c r="Z30" s="66">
        <v>37.0</v>
      </c>
      <c r="AA30" s="66">
        <v>6.0</v>
      </c>
      <c r="AB30" s="72">
        <v>31.0</v>
      </c>
      <c r="AC30" s="73">
        <v>31.0</v>
      </c>
      <c r="AD30" s="73">
        <v>22.0</v>
      </c>
      <c r="AE30" s="74">
        <v>36.0</v>
      </c>
      <c r="AF30" s="75">
        <v>15.0</v>
      </c>
      <c r="AG30" s="73">
        <v>6.0</v>
      </c>
      <c r="AH30" s="76"/>
      <c r="AI30" s="77">
        <f t="shared" si="7"/>
        <v>938</v>
      </c>
      <c r="AJ30" s="78">
        <f t="shared" si="8"/>
        <v>34.5</v>
      </c>
      <c r="AK30" s="79">
        <f t="shared" si="9"/>
        <v>32.34482759</v>
      </c>
      <c r="AL30" s="80"/>
      <c r="AM30" s="81"/>
    </row>
    <row r="31" ht="17.25" customHeight="1">
      <c r="A31" s="69">
        <v>45983.0</v>
      </c>
      <c r="B31" s="70">
        <f t="shared" si="10"/>
        <v>24</v>
      </c>
      <c r="C31" s="71">
        <v>44.0</v>
      </c>
      <c r="D31" s="66">
        <v>16.0</v>
      </c>
      <c r="E31" s="66">
        <v>169.0</v>
      </c>
      <c r="F31" s="66">
        <v>27.0</v>
      </c>
      <c r="G31" s="66">
        <v>13.0</v>
      </c>
      <c r="H31" s="66">
        <v>39.0</v>
      </c>
      <c r="I31" s="66">
        <v>33.0</v>
      </c>
      <c r="J31" s="66">
        <v>33.0</v>
      </c>
      <c r="K31" s="66">
        <v>43.0</v>
      </c>
      <c r="L31" s="66">
        <v>10.0</v>
      </c>
      <c r="M31" s="66">
        <v>15.0</v>
      </c>
      <c r="N31" s="66">
        <v>12.0</v>
      </c>
      <c r="O31" s="66"/>
      <c r="P31" s="66"/>
      <c r="Q31" s="67">
        <v>4.0</v>
      </c>
      <c r="R31" s="66">
        <v>17.0</v>
      </c>
      <c r="S31" s="66">
        <v>17.0</v>
      </c>
      <c r="T31" s="66">
        <v>15.0</v>
      </c>
      <c r="U31" s="66">
        <v>40.0</v>
      </c>
      <c r="V31" s="66">
        <v>30.0</v>
      </c>
      <c r="W31" s="66">
        <v>14.0</v>
      </c>
      <c r="X31" s="66">
        <v>76.0</v>
      </c>
      <c r="Y31" s="66">
        <v>44.0</v>
      </c>
      <c r="Z31" s="66">
        <v>54.0</v>
      </c>
      <c r="AA31" s="66">
        <v>9.0</v>
      </c>
      <c r="AB31" s="72">
        <v>33.0</v>
      </c>
      <c r="AC31" s="73">
        <v>31.0</v>
      </c>
      <c r="AD31" s="73">
        <v>29.0</v>
      </c>
      <c r="AE31" s="74">
        <v>29.0</v>
      </c>
      <c r="AF31" s="75">
        <v>16.0</v>
      </c>
      <c r="AG31" s="73">
        <v>8.0</v>
      </c>
      <c r="AH31" s="76"/>
      <c r="AI31" s="77">
        <f t="shared" si="7"/>
        <v>920</v>
      </c>
      <c r="AJ31" s="78">
        <f t="shared" si="8"/>
        <v>33.625</v>
      </c>
      <c r="AK31" s="79">
        <f t="shared" si="9"/>
        <v>31.72413793</v>
      </c>
      <c r="AL31" s="80"/>
      <c r="AM31" s="81"/>
      <c r="AN31" s="68"/>
    </row>
    <row r="32" ht="17.25" customHeight="1">
      <c r="A32" s="69">
        <v>45976.0</v>
      </c>
      <c r="B32" s="70">
        <f t="shared" ref="B32:B227" si="11">COUNT(C32:AB32)</f>
        <v>24</v>
      </c>
      <c r="C32" s="71">
        <v>47.0</v>
      </c>
      <c r="D32" s="66">
        <v>15.0</v>
      </c>
      <c r="E32" s="66">
        <v>107.0</v>
      </c>
      <c r="F32" s="66">
        <v>24.0</v>
      </c>
      <c r="G32" s="66">
        <v>9.0</v>
      </c>
      <c r="H32" s="66">
        <v>39.0</v>
      </c>
      <c r="I32" s="66">
        <v>29.0</v>
      </c>
      <c r="J32" s="66">
        <v>23.0</v>
      </c>
      <c r="K32" s="66">
        <v>21.0</v>
      </c>
      <c r="L32" s="66">
        <v>5.0</v>
      </c>
      <c r="M32" s="66">
        <v>41.0</v>
      </c>
      <c r="N32" s="66">
        <v>7.0</v>
      </c>
      <c r="O32" s="66"/>
      <c r="P32" s="66"/>
      <c r="Q32" s="67">
        <v>10.0</v>
      </c>
      <c r="R32" s="66">
        <v>21.0</v>
      </c>
      <c r="S32" s="66">
        <v>17.0</v>
      </c>
      <c r="T32" s="66">
        <v>11.0</v>
      </c>
      <c r="U32" s="66">
        <v>56.0</v>
      </c>
      <c r="V32" s="66">
        <v>36.0</v>
      </c>
      <c r="W32" s="66">
        <v>13.0</v>
      </c>
      <c r="X32" s="66">
        <v>116.0</v>
      </c>
      <c r="Y32" s="66">
        <v>51.0</v>
      </c>
      <c r="Z32" s="66">
        <v>47.0</v>
      </c>
      <c r="AA32" s="66">
        <v>8.0</v>
      </c>
      <c r="AB32" s="72">
        <v>22.0</v>
      </c>
      <c r="AC32" s="73">
        <v>28.0</v>
      </c>
      <c r="AD32" s="73">
        <v>23.0</v>
      </c>
      <c r="AE32" s="74">
        <v>42.0</v>
      </c>
      <c r="AF32" s="75">
        <v>25.0</v>
      </c>
      <c r="AG32" s="73">
        <v>12.0</v>
      </c>
      <c r="AH32" s="76"/>
      <c r="AI32" s="77">
        <f t="shared" si="7"/>
        <v>905</v>
      </c>
      <c r="AJ32" s="78">
        <f t="shared" si="8"/>
        <v>32.29166667</v>
      </c>
      <c r="AK32" s="79">
        <f t="shared" si="9"/>
        <v>31.20689655</v>
      </c>
      <c r="AL32" s="80"/>
      <c r="AM32" s="81"/>
      <c r="AN32" s="68" t="s">
        <v>49</v>
      </c>
    </row>
    <row r="33" ht="17.25" customHeight="1">
      <c r="A33" s="69">
        <v>45969.0</v>
      </c>
      <c r="B33" s="70">
        <f t="shared" si="11"/>
        <v>24</v>
      </c>
      <c r="C33" s="71">
        <v>58.0</v>
      </c>
      <c r="D33" s="66">
        <v>22.0</v>
      </c>
      <c r="E33" s="66">
        <v>153.0</v>
      </c>
      <c r="F33" s="66">
        <v>35.0</v>
      </c>
      <c r="G33" s="66">
        <v>16.0</v>
      </c>
      <c r="H33" s="66">
        <v>45.0</v>
      </c>
      <c r="I33" s="66">
        <v>39.0</v>
      </c>
      <c r="J33" s="66">
        <v>25.0</v>
      </c>
      <c r="K33" s="66">
        <v>24.0</v>
      </c>
      <c r="L33" s="66">
        <v>13.0</v>
      </c>
      <c r="M33" s="66">
        <v>17.0</v>
      </c>
      <c r="N33" s="66">
        <v>15.0</v>
      </c>
      <c r="O33" s="66"/>
      <c r="P33" s="66"/>
      <c r="Q33" s="67">
        <v>8.0</v>
      </c>
      <c r="R33" s="66">
        <v>26.0</v>
      </c>
      <c r="S33" s="66">
        <v>15.0</v>
      </c>
      <c r="T33" s="66">
        <v>23.0</v>
      </c>
      <c r="U33" s="66">
        <v>47.0</v>
      </c>
      <c r="V33" s="66">
        <v>31.0</v>
      </c>
      <c r="W33" s="66">
        <v>13.0</v>
      </c>
      <c r="X33" s="66">
        <v>65.0</v>
      </c>
      <c r="Y33" s="66">
        <v>67.0</v>
      </c>
      <c r="Z33" s="66">
        <v>44.0</v>
      </c>
      <c r="AA33" s="66">
        <v>12.0</v>
      </c>
      <c r="AB33" s="72">
        <v>25.0</v>
      </c>
      <c r="AC33" s="73">
        <v>19.0</v>
      </c>
      <c r="AD33" s="73">
        <v>22.0</v>
      </c>
      <c r="AE33" s="74">
        <v>40.0</v>
      </c>
      <c r="AF33" s="75">
        <v>16.0</v>
      </c>
      <c r="AG33" s="73">
        <v>7.0</v>
      </c>
      <c r="AH33" s="76"/>
      <c r="AI33" s="77">
        <f t="shared" si="7"/>
        <v>942</v>
      </c>
      <c r="AJ33" s="78">
        <f t="shared" si="8"/>
        <v>34.91666667</v>
      </c>
      <c r="AK33" s="79">
        <f t="shared" si="9"/>
        <v>32.48275862</v>
      </c>
      <c r="AL33" s="80"/>
      <c r="AM33" s="81"/>
      <c r="AN33" s="68"/>
    </row>
    <row r="34" ht="17.25" customHeight="1">
      <c r="A34" s="69">
        <v>45962.0</v>
      </c>
      <c r="B34" s="70">
        <f t="shared" si="11"/>
        <v>19</v>
      </c>
      <c r="C34" s="71">
        <v>35.0</v>
      </c>
      <c r="D34" s="66">
        <v>15.0</v>
      </c>
      <c r="E34" s="66">
        <v>111.0</v>
      </c>
      <c r="F34" s="66">
        <v>20.0</v>
      </c>
      <c r="G34" s="66">
        <v>4.0</v>
      </c>
      <c r="H34" s="66">
        <v>20.0</v>
      </c>
      <c r="I34" s="66">
        <v>30.0</v>
      </c>
      <c r="J34" s="66">
        <v>15.0</v>
      </c>
      <c r="K34" s="66">
        <v>21.0</v>
      </c>
      <c r="L34" s="66"/>
      <c r="M34" s="66">
        <v>5.0</v>
      </c>
      <c r="N34" s="66">
        <v>5.0</v>
      </c>
      <c r="O34" s="66"/>
      <c r="P34" s="66"/>
      <c r="Q34" s="67">
        <v>3.0</v>
      </c>
      <c r="R34" s="66">
        <v>12.0</v>
      </c>
      <c r="S34" s="66">
        <v>9.0</v>
      </c>
      <c r="T34" s="66">
        <v>11.0</v>
      </c>
      <c r="U34" s="66"/>
      <c r="V34" s="66">
        <v>22.0</v>
      </c>
      <c r="W34" s="66"/>
      <c r="X34" s="66"/>
      <c r="Y34" s="66">
        <v>16.0</v>
      </c>
      <c r="Z34" s="66">
        <v>21.0</v>
      </c>
      <c r="AA34" s="66">
        <v>13.0</v>
      </c>
      <c r="AB34" s="72"/>
      <c r="AC34" s="73">
        <v>20.0</v>
      </c>
      <c r="AD34" s="73">
        <v>20.0</v>
      </c>
      <c r="AE34" s="74">
        <v>38.0</v>
      </c>
      <c r="AF34" s="75">
        <v>12.0</v>
      </c>
      <c r="AG34" s="73">
        <v>16.0</v>
      </c>
      <c r="AH34" s="76"/>
      <c r="AI34" s="77">
        <f t="shared" si="7"/>
        <v>494</v>
      </c>
      <c r="AJ34" s="78">
        <f t="shared" si="8"/>
        <v>20.42105263</v>
      </c>
      <c r="AK34" s="79">
        <f t="shared" si="9"/>
        <v>20.58333333</v>
      </c>
      <c r="AL34" s="80"/>
      <c r="AM34" s="81"/>
      <c r="AN34" s="68" t="s">
        <v>50</v>
      </c>
    </row>
    <row r="35" ht="17.25" customHeight="1">
      <c r="A35" s="69">
        <v>45955.0</v>
      </c>
      <c r="B35" s="70">
        <f t="shared" si="11"/>
        <v>24</v>
      </c>
      <c r="C35" s="71">
        <v>47.0</v>
      </c>
      <c r="D35" s="66">
        <v>19.0</v>
      </c>
      <c r="E35" s="66">
        <v>156.0</v>
      </c>
      <c r="F35" s="66">
        <v>42.0</v>
      </c>
      <c r="G35" s="66">
        <v>13.0</v>
      </c>
      <c r="H35" s="66">
        <v>40.0</v>
      </c>
      <c r="I35" s="66">
        <v>49.0</v>
      </c>
      <c r="J35" s="66">
        <v>39.0</v>
      </c>
      <c r="K35" s="66">
        <v>27.0</v>
      </c>
      <c r="L35" s="66">
        <v>14.0</v>
      </c>
      <c r="M35" s="66">
        <v>24.0</v>
      </c>
      <c r="N35" s="66">
        <v>12.0</v>
      </c>
      <c r="O35" s="66"/>
      <c r="P35" s="66"/>
      <c r="Q35" s="67">
        <v>8.0</v>
      </c>
      <c r="R35" s="66">
        <v>13.0</v>
      </c>
      <c r="S35" s="66">
        <v>17.0</v>
      </c>
      <c r="T35" s="66">
        <v>12.0</v>
      </c>
      <c r="U35" s="66">
        <v>33.0</v>
      </c>
      <c r="V35" s="66">
        <v>38.0</v>
      </c>
      <c r="W35" s="66">
        <v>8.0</v>
      </c>
      <c r="X35" s="66">
        <v>84.0</v>
      </c>
      <c r="Y35" s="66">
        <v>52.0</v>
      </c>
      <c r="Z35" s="66">
        <v>54.0</v>
      </c>
      <c r="AA35" s="66">
        <v>17.0</v>
      </c>
      <c r="AB35" s="72">
        <v>28.0</v>
      </c>
      <c r="AC35" s="73">
        <v>6.0</v>
      </c>
      <c r="AD35" s="73">
        <v>16.0</v>
      </c>
      <c r="AE35" s="74">
        <v>17.0</v>
      </c>
      <c r="AF35" s="75">
        <v>27.0</v>
      </c>
      <c r="AG35" s="73">
        <v>9.0</v>
      </c>
      <c r="AH35" s="76"/>
      <c r="AI35" s="77">
        <f t="shared" si="7"/>
        <v>921</v>
      </c>
      <c r="AJ35" s="78">
        <f t="shared" si="8"/>
        <v>35.25</v>
      </c>
      <c r="AK35" s="79">
        <f t="shared" si="9"/>
        <v>31.75862069</v>
      </c>
      <c r="AL35" s="80"/>
      <c r="AM35" s="81"/>
    </row>
    <row r="36" ht="17.25" customHeight="1">
      <c r="A36" s="69">
        <v>45948.0</v>
      </c>
      <c r="B36" s="70">
        <f t="shared" si="11"/>
        <v>24</v>
      </c>
      <c r="C36" s="71">
        <v>43.0</v>
      </c>
      <c r="D36" s="66">
        <v>9.0</v>
      </c>
      <c r="E36" s="66">
        <v>160.0</v>
      </c>
      <c r="F36" s="66">
        <v>41.0</v>
      </c>
      <c r="G36" s="66">
        <v>8.0</v>
      </c>
      <c r="H36" s="66">
        <v>33.0</v>
      </c>
      <c r="I36" s="66">
        <v>26.0</v>
      </c>
      <c r="J36" s="66">
        <v>34.0</v>
      </c>
      <c r="K36" s="66">
        <v>33.0</v>
      </c>
      <c r="L36" s="66">
        <v>10.0</v>
      </c>
      <c r="M36" s="66">
        <v>12.0</v>
      </c>
      <c r="N36" s="66">
        <v>9.0</v>
      </c>
      <c r="O36" s="66"/>
      <c r="P36" s="66"/>
      <c r="Q36" s="67">
        <v>11.0</v>
      </c>
      <c r="R36" s="66">
        <v>24.0</v>
      </c>
      <c r="S36" s="66">
        <v>16.0</v>
      </c>
      <c r="T36" s="66">
        <v>27.0</v>
      </c>
      <c r="U36" s="66">
        <v>40.0</v>
      </c>
      <c r="V36" s="66">
        <v>29.0</v>
      </c>
      <c r="W36" s="66">
        <v>1.0</v>
      </c>
      <c r="X36" s="66">
        <v>109.0</v>
      </c>
      <c r="Y36" s="66">
        <v>56.0</v>
      </c>
      <c r="Z36" s="66">
        <v>56.0</v>
      </c>
      <c r="AA36" s="66">
        <v>16.0</v>
      </c>
      <c r="AB36" s="72">
        <v>30.0</v>
      </c>
      <c r="AC36" s="73">
        <v>26.0</v>
      </c>
      <c r="AD36" s="73">
        <v>8.0</v>
      </c>
      <c r="AE36" s="74">
        <v>52.0</v>
      </c>
      <c r="AF36" s="75">
        <v>21.0</v>
      </c>
      <c r="AG36" s="73">
        <v>9.0</v>
      </c>
      <c r="AH36" s="76"/>
      <c r="AI36" s="77">
        <f t="shared" si="7"/>
        <v>949</v>
      </c>
      <c r="AJ36" s="78">
        <f t="shared" si="8"/>
        <v>34.70833333</v>
      </c>
      <c r="AK36" s="79">
        <f t="shared" si="9"/>
        <v>32.72413793</v>
      </c>
      <c r="AL36" s="80"/>
      <c r="AM36" s="81"/>
    </row>
    <row r="37" ht="17.25" customHeight="1">
      <c r="A37" s="69">
        <v>45941.0</v>
      </c>
      <c r="B37" s="70">
        <f t="shared" si="11"/>
        <v>23</v>
      </c>
      <c r="C37" s="71">
        <v>35.0</v>
      </c>
      <c r="D37" s="66">
        <v>8.0</v>
      </c>
      <c r="E37" s="66">
        <v>131.0</v>
      </c>
      <c r="F37" s="66">
        <v>111.0</v>
      </c>
      <c r="G37" s="66">
        <v>19.0</v>
      </c>
      <c r="H37" s="66">
        <v>40.0</v>
      </c>
      <c r="I37" s="66">
        <v>39.0</v>
      </c>
      <c r="J37" s="66">
        <v>36.0</v>
      </c>
      <c r="K37" s="66">
        <v>25.0</v>
      </c>
      <c r="L37" s="66">
        <v>11.0</v>
      </c>
      <c r="M37" s="66">
        <v>16.0</v>
      </c>
      <c r="N37" s="66"/>
      <c r="O37" s="66"/>
      <c r="P37" s="66"/>
      <c r="Q37" s="67">
        <v>7.0</v>
      </c>
      <c r="R37" s="66">
        <v>10.0</v>
      </c>
      <c r="S37" s="66">
        <v>18.0</v>
      </c>
      <c r="T37" s="66">
        <v>18.0</v>
      </c>
      <c r="U37" s="66">
        <v>43.0</v>
      </c>
      <c r="V37" s="66">
        <v>36.0</v>
      </c>
      <c r="W37" s="66">
        <v>15.0</v>
      </c>
      <c r="X37" s="66">
        <v>86.0</v>
      </c>
      <c r="Y37" s="66">
        <v>53.0</v>
      </c>
      <c r="Z37" s="66">
        <v>56.0</v>
      </c>
      <c r="AA37" s="66">
        <v>15.0</v>
      </c>
      <c r="AB37" s="72">
        <v>24.0</v>
      </c>
      <c r="AC37" s="73">
        <v>7.0</v>
      </c>
      <c r="AD37" s="73">
        <v>20.0</v>
      </c>
      <c r="AE37" s="74">
        <v>22.0</v>
      </c>
      <c r="AF37" s="75">
        <v>15.0</v>
      </c>
      <c r="AG37" s="73">
        <v>15.0</v>
      </c>
      <c r="AH37" s="76"/>
      <c r="AI37" s="77">
        <f t="shared" si="7"/>
        <v>931</v>
      </c>
      <c r="AJ37" s="78">
        <f t="shared" si="8"/>
        <v>37.04347826</v>
      </c>
      <c r="AK37" s="79">
        <f t="shared" si="9"/>
        <v>33.25</v>
      </c>
      <c r="AL37" s="80"/>
      <c r="AM37" s="81"/>
    </row>
    <row r="38" ht="17.25" customHeight="1">
      <c r="A38" s="69">
        <v>45934.0</v>
      </c>
      <c r="B38" s="70">
        <f t="shared" si="11"/>
        <v>23</v>
      </c>
      <c r="C38" s="71">
        <v>47.0</v>
      </c>
      <c r="D38" s="66">
        <v>39.0</v>
      </c>
      <c r="E38" s="66">
        <v>184.0</v>
      </c>
      <c r="F38" s="66">
        <v>48.0</v>
      </c>
      <c r="G38" s="66">
        <v>14.0</v>
      </c>
      <c r="H38" s="66">
        <v>49.0</v>
      </c>
      <c r="I38" s="66">
        <v>52.0</v>
      </c>
      <c r="J38" s="66">
        <v>27.0</v>
      </c>
      <c r="K38" s="66">
        <v>28.0</v>
      </c>
      <c r="L38" s="66">
        <v>8.0</v>
      </c>
      <c r="M38" s="66">
        <v>22.0</v>
      </c>
      <c r="N38" s="66"/>
      <c r="O38" s="66"/>
      <c r="P38" s="66"/>
      <c r="Q38" s="67">
        <v>5.0</v>
      </c>
      <c r="R38" s="66">
        <v>24.0</v>
      </c>
      <c r="S38" s="66">
        <v>18.0</v>
      </c>
      <c r="T38" s="66">
        <v>33.0</v>
      </c>
      <c r="U38" s="66">
        <v>27.0</v>
      </c>
      <c r="V38" s="66">
        <v>32.0</v>
      </c>
      <c r="W38" s="66">
        <v>5.0</v>
      </c>
      <c r="X38" s="66">
        <v>110.0</v>
      </c>
      <c r="Y38" s="66">
        <v>59.0</v>
      </c>
      <c r="Z38" s="66">
        <v>39.0</v>
      </c>
      <c r="AA38" s="66">
        <v>15.0</v>
      </c>
      <c r="AB38" s="72">
        <v>20.0</v>
      </c>
      <c r="AC38" s="73">
        <v>11.0</v>
      </c>
      <c r="AD38" s="73">
        <v>16.0</v>
      </c>
      <c r="AE38" s="74">
        <v>39.0</v>
      </c>
      <c r="AF38" s="75">
        <v>22.0</v>
      </c>
      <c r="AG38" s="73">
        <v>14.0</v>
      </c>
      <c r="AH38" s="76"/>
      <c r="AI38" s="77">
        <f t="shared" si="7"/>
        <v>1007</v>
      </c>
      <c r="AJ38" s="78">
        <f t="shared" si="8"/>
        <v>39.34782609</v>
      </c>
      <c r="AK38" s="79">
        <f t="shared" si="9"/>
        <v>35.96428571</v>
      </c>
      <c r="AL38" s="80"/>
      <c r="AM38" s="81"/>
    </row>
    <row r="39" ht="17.25" customHeight="1">
      <c r="A39" s="69">
        <v>45927.0</v>
      </c>
      <c r="B39" s="70">
        <f t="shared" si="11"/>
        <v>22</v>
      </c>
      <c r="C39" s="71">
        <v>39.0</v>
      </c>
      <c r="D39" s="66">
        <v>12.0</v>
      </c>
      <c r="E39" s="66">
        <v>167.0</v>
      </c>
      <c r="F39" s="66">
        <v>79.0</v>
      </c>
      <c r="G39" s="66">
        <v>15.0</v>
      </c>
      <c r="H39" s="66">
        <v>45.0</v>
      </c>
      <c r="I39" s="66">
        <v>54.0</v>
      </c>
      <c r="J39" s="66">
        <v>25.0</v>
      </c>
      <c r="K39" s="66">
        <v>34.0</v>
      </c>
      <c r="L39" s="66">
        <v>14.0</v>
      </c>
      <c r="M39" s="66">
        <v>22.0</v>
      </c>
      <c r="N39" s="66"/>
      <c r="O39" s="66"/>
      <c r="P39" s="66"/>
      <c r="Q39" s="67">
        <v>6.0</v>
      </c>
      <c r="R39" s="66">
        <v>32.0</v>
      </c>
      <c r="S39" s="66">
        <v>17.0</v>
      </c>
      <c r="T39" s="66">
        <v>19.0</v>
      </c>
      <c r="U39" s="66">
        <v>33.0</v>
      </c>
      <c r="V39" s="66"/>
      <c r="W39" s="66">
        <v>8.0</v>
      </c>
      <c r="X39" s="66">
        <v>100.0</v>
      </c>
      <c r="Y39" s="66">
        <v>33.0</v>
      </c>
      <c r="Z39" s="66">
        <v>73.0</v>
      </c>
      <c r="AA39" s="66">
        <v>15.0</v>
      </c>
      <c r="AB39" s="72">
        <v>26.0</v>
      </c>
      <c r="AC39" s="73">
        <v>20.0</v>
      </c>
      <c r="AD39" s="73"/>
      <c r="AE39" s="74">
        <v>40.0</v>
      </c>
      <c r="AF39" s="75">
        <v>19.0</v>
      </c>
      <c r="AG39" s="73">
        <v>6.0</v>
      </c>
      <c r="AH39" s="76">
        <v>15.0</v>
      </c>
      <c r="AI39" s="77">
        <f t="shared" si="7"/>
        <v>968</v>
      </c>
      <c r="AJ39" s="78">
        <f t="shared" si="8"/>
        <v>39.45454545</v>
      </c>
      <c r="AK39" s="79">
        <f t="shared" si="9"/>
        <v>35.85185185</v>
      </c>
      <c r="AL39" s="80"/>
      <c r="AM39" s="81"/>
      <c r="AP39" s="82">
        <f>AC39+AE39+15</f>
        <v>75</v>
      </c>
    </row>
    <row r="40" ht="17.25" customHeight="1">
      <c r="A40" s="69">
        <v>45920.0</v>
      </c>
      <c r="B40" s="70">
        <f t="shared" si="11"/>
        <v>23</v>
      </c>
      <c r="C40" s="71">
        <v>27.0</v>
      </c>
      <c r="D40" s="66">
        <v>8.0</v>
      </c>
      <c r="E40" s="66">
        <v>127.0</v>
      </c>
      <c r="F40" s="66">
        <v>34.0</v>
      </c>
      <c r="G40" s="66">
        <v>12.0</v>
      </c>
      <c r="H40" s="66">
        <v>23.0</v>
      </c>
      <c r="I40" s="66">
        <v>43.0</v>
      </c>
      <c r="J40" s="66">
        <v>21.0</v>
      </c>
      <c r="K40" s="66">
        <v>18.0</v>
      </c>
      <c r="L40" s="66">
        <v>12.0</v>
      </c>
      <c r="M40" s="66">
        <v>15.0</v>
      </c>
      <c r="N40" s="66"/>
      <c r="O40" s="66"/>
      <c r="P40" s="66"/>
      <c r="Q40" s="67">
        <v>4.0</v>
      </c>
      <c r="R40" s="66">
        <v>15.0</v>
      </c>
      <c r="S40" s="66">
        <v>9.0</v>
      </c>
      <c r="T40" s="66">
        <v>28.0</v>
      </c>
      <c r="U40" s="66">
        <v>33.0</v>
      </c>
      <c r="V40" s="66">
        <v>19.0</v>
      </c>
      <c r="W40" s="66">
        <v>4.0</v>
      </c>
      <c r="X40" s="66">
        <v>46.0</v>
      </c>
      <c r="Y40" s="66">
        <v>12.0</v>
      </c>
      <c r="Z40" s="66">
        <v>38.0</v>
      </c>
      <c r="AA40" s="66">
        <v>19.0</v>
      </c>
      <c r="AB40" s="72">
        <v>22.0</v>
      </c>
      <c r="AC40" s="73">
        <v>19.0</v>
      </c>
      <c r="AD40" s="73"/>
      <c r="AE40" s="74">
        <v>45.0</v>
      </c>
      <c r="AF40" s="75">
        <v>22.0</v>
      </c>
      <c r="AG40" s="73">
        <v>19.0</v>
      </c>
      <c r="AH40" s="76"/>
      <c r="AI40" s="77">
        <f t="shared" si="7"/>
        <v>694</v>
      </c>
      <c r="AJ40" s="78">
        <f t="shared" si="8"/>
        <v>25.60869565</v>
      </c>
      <c r="AK40" s="79">
        <f t="shared" si="9"/>
        <v>25.7037037</v>
      </c>
      <c r="AL40" s="80"/>
      <c r="AM40" s="81"/>
      <c r="AP40" s="82">
        <f t="shared" ref="AP40:AP113" si="12">AC40+AE40</f>
        <v>64</v>
      </c>
    </row>
    <row r="41" ht="17.25" customHeight="1">
      <c r="A41" s="69">
        <v>45913.0</v>
      </c>
      <c r="B41" s="70">
        <f t="shared" si="11"/>
        <v>23</v>
      </c>
      <c r="C41" s="71">
        <v>50.0</v>
      </c>
      <c r="D41" s="66">
        <v>11.0</v>
      </c>
      <c r="E41" s="66">
        <v>182.0</v>
      </c>
      <c r="F41" s="66">
        <v>57.0</v>
      </c>
      <c r="G41" s="66">
        <v>14.0</v>
      </c>
      <c r="H41" s="66">
        <v>39.0</v>
      </c>
      <c r="I41" s="66">
        <v>53.0</v>
      </c>
      <c r="J41" s="66">
        <v>32.0</v>
      </c>
      <c r="K41" s="66">
        <v>30.0</v>
      </c>
      <c r="L41" s="66">
        <v>14.0</v>
      </c>
      <c r="M41" s="66">
        <v>152.0</v>
      </c>
      <c r="N41" s="66"/>
      <c r="O41" s="66"/>
      <c r="P41" s="66"/>
      <c r="Q41" s="67">
        <v>4.0</v>
      </c>
      <c r="R41" s="66">
        <v>23.0</v>
      </c>
      <c r="S41" s="66">
        <v>16.0</v>
      </c>
      <c r="T41" s="66">
        <v>35.0</v>
      </c>
      <c r="U41" s="66">
        <v>55.0</v>
      </c>
      <c r="V41" s="66">
        <v>36.0</v>
      </c>
      <c r="W41" s="66">
        <v>13.0</v>
      </c>
      <c r="X41" s="66">
        <v>80.0</v>
      </c>
      <c r="Y41" s="66">
        <v>42.0</v>
      </c>
      <c r="Z41" s="66">
        <v>40.0</v>
      </c>
      <c r="AA41" s="66">
        <v>6.0</v>
      </c>
      <c r="AB41" s="72">
        <v>28.0</v>
      </c>
      <c r="AC41" s="73">
        <v>26.0</v>
      </c>
      <c r="AD41" s="73"/>
      <c r="AE41" s="74">
        <v>43.0</v>
      </c>
      <c r="AF41" s="75">
        <v>29.0</v>
      </c>
      <c r="AG41" s="73">
        <v>18.0</v>
      </c>
      <c r="AH41" s="76"/>
      <c r="AI41" s="77">
        <f t="shared" si="7"/>
        <v>1128</v>
      </c>
      <c r="AJ41" s="78">
        <f t="shared" si="8"/>
        <v>44</v>
      </c>
      <c r="AK41" s="79">
        <f t="shared" si="9"/>
        <v>41.77777778</v>
      </c>
      <c r="AL41" s="80"/>
      <c r="AM41" s="81"/>
      <c r="AP41" s="82">
        <f t="shared" si="12"/>
        <v>69</v>
      </c>
    </row>
    <row r="42" ht="17.25" customHeight="1">
      <c r="A42" s="69">
        <v>45906.0</v>
      </c>
      <c r="B42" s="70">
        <f t="shared" si="11"/>
        <v>23</v>
      </c>
      <c r="C42" s="71">
        <v>47.0</v>
      </c>
      <c r="D42" s="66">
        <v>10.0</v>
      </c>
      <c r="E42" s="66">
        <v>359.0</v>
      </c>
      <c r="F42" s="66">
        <v>72.0</v>
      </c>
      <c r="G42" s="66">
        <v>20.0</v>
      </c>
      <c r="H42" s="66">
        <v>33.0</v>
      </c>
      <c r="I42" s="66">
        <v>58.0</v>
      </c>
      <c r="J42" s="66">
        <v>46.0</v>
      </c>
      <c r="K42" s="66">
        <v>37.0</v>
      </c>
      <c r="L42" s="66">
        <v>13.0</v>
      </c>
      <c r="M42" s="66">
        <v>28.0</v>
      </c>
      <c r="N42" s="66"/>
      <c r="O42" s="66"/>
      <c r="P42" s="66"/>
      <c r="Q42" s="67">
        <v>13.0</v>
      </c>
      <c r="R42" s="66">
        <v>21.0</v>
      </c>
      <c r="S42" s="66">
        <v>8.0</v>
      </c>
      <c r="T42" s="66">
        <v>28.0</v>
      </c>
      <c r="U42" s="66">
        <v>28.0</v>
      </c>
      <c r="V42" s="66">
        <v>51.0</v>
      </c>
      <c r="W42" s="66">
        <v>7.0</v>
      </c>
      <c r="X42" s="66">
        <v>91.0</v>
      </c>
      <c r="Y42" s="66">
        <v>44.0</v>
      </c>
      <c r="Z42" s="66">
        <v>48.0</v>
      </c>
      <c r="AA42" s="66">
        <v>24.0</v>
      </c>
      <c r="AB42" s="72">
        <v>21.0</v>
      </c>
      <c r="AC42" s="73">
        <v>16.0</v>
      </c>
      <c r="AD42" s="73"/>
      <c r="AE42" s="74">
        <v>48.0</v>
      </c>
      <c r="AF42" s="75">
        <v>18.0</v>
      </c>
      <c r="AG42" s="73">
        <v>12.0</v>
      </c>
      <c r="AH42" s="76"/>
      <c r="AI42" s="77">
        <f t="shared" si="7"/>
        <v>1201</v>
      </c>
      <c r="AJ42" s="78">
        <f t="shared" si="8"/>
        <v>48.13043478</v>
      </c>
      <c r="AK42" s="79">
        <f t="shared" si="9"/>
        <v>44.48148148</v>
      </c>
      <c r="AL42" s="80"/>
      <c r="AM42" s="81"/>
      <c r="AP42" s="82">
        <f t="shared" si="12"/>
        <v>64</v>
      </c>
    </row>
    <row r="43" ht="17.25" customHeight="1">
      <c r="A43" s="69">
        <v>45899.0</v>
      </c>
      <c r="B43" s="70">
        <f t="shared" si="11"/>
        <v>23</v>
      </c>
      <c r="C43" s="71">
        <v>53.0</v>
      </c>
      <c r="D43" s="66">
        <v>19.0</v>
      </c>
      <c r="E43" s="66">
        <v>399.0</v>
      </c>
      <c r="F43" s="66">
        <v>53.0</v>
      </c>
      <c r="G43" s="66">
        <v>16.0</v>
      </c>
      <c r="H43" s="66">
        <v>77.0</v>
      </c>
      <c r="I43" s="66">
        <v>64.0</v>
      </c>
      <c r="J43" s="66">
        <v>53.0</v>
      </c>
      <c r="K43" s="66">
        <v>27.0</v>
      </c>
      <c r="L43" s="66">
        <v>15.0</v>
      </c>
      <c r="M43" s="66">
        <v>20.0</v>
      </c>
      <c r="N43" s="66"/>
      <c r="O43" s="66"/>
      <c r="P43" s="66"/>
      <c r="Q43" s="67">
        <v>11.0</v>
      </c>
      <c r="R43" s="66">
        <v>24.0</v>
      </c>
      <c r="S43" s="66">
        <v>22.0</v>
      </c>
      <c r="T43" s="66">
        <v>22.0</v>
      </c>
      <c r="U43" s="66">
        <v>50.0</v>
      </c>
      <c r="V43" s="66">
        <v>40.0</v>
      </c>
      <c r="W43" s="66">
        <v>4.0</v>
      </c>
      <c r="X43" s="66">
        <v>79.0</v>
      </c>
      <c r="Y43" s="66">
        <v>50.0</v>
      </c>
      <c r="Z43" s="66">
        <v>45.0</v>
      </c>
      <c r="AA43" s="66">
        <v>21.0</v>
      </c>
      <c r="AB43" s="72">
        <v>31.0</v>
      </c>
      <c r="AC43" s="73">
        <v>27.0</v>
      </c>
      <c r="AD43" s="73"/>
      <c r="AE43" s="74">
        <v>43.0</v>
      </c>
      <c r="AF43" s="75">
        <v>18.0</v>
      </c>
      <c r="AG43" s="73">
        <v>17.0</v>
      </c>
      <c r="AH43" s="76"/>
      <c r="AI43" s="77">
        <f t="shared" si="7"/>
        <v>1300</v>
      </c>
      <c r="AJ43" s="78">
        <f t="shared" si="8"/>
        <v>51.95652174</v>
      </c>
      <c r="AK43" s="79">
        <f t="shared" si="9"/>
        <v>48.14814815</v>
      </c>
      <c r="AL43" s="80"/>
      <c r="AM43" s="81"/>
      <c r="AN43" s="68" t="s">
        <v>51</v>
      </c>
      <c r="AP43" s="82">
        <f t="shared" si="12"/>
        <v>70</v>
      </c>
    </row>
    <row r="44" ht="17.25" customHeight="1">
      <c r="A44" s="69">
        <v>45892.0</v>
      </c>
      <c r="B44" s="70">
        <f t="shared" si="11"/>
        <v>23</v>
      </c>
      <c r="C44" s="71">
        <v>50.0</v>
      </c>
      <c r="D44" s="66">
        <v>10.0</v>
      </c>
      <c r="E44" s="66">
        <v>159.0</v>
      </c>
      <c r="F44" s="66">
        <v>53.0</v>
      </c>
      <c r="G44" s="66">
        <v>17.0</v>
      </c>
      <c r="H44" s="66">
        <v>21.0</v>
      </c>
      <c r="I44" s="66">
        <v>33.0</v>
      </c>
      <c r="J44" s="66">
        <v>28.0</v>
      </c>
      <c r="K44" s="66">
        <v>22.0</v>
      </c>
      <c r="L44" s="66">
        <v>8.0</v>
      </c>
      <c r="M44" s="66">
        <v>22.0</v>
      </c>
      <c r="N44" s="66"/>
      <c r="O44" s="66"/>
      <c r="P44" s="66"/>
      <c r="Q44" s="67">
        <v>4.0</v>
      </c>
      <c r="R44" s="66">
        <v>19.0</v>
      </c>
      <c r="S44" s="66">
        <v>19.0</v>
      </c>
      <c r="T44" s="66">
        <v>12.0</v>
      </c>
      <c r="U44" s="66">
        <v>56.0</v>
      </c>
      <c r="V44" s="66">
        <v>29.0</v>
      </c>
      <c r="W44" s="66">
        <v>11.0</v>
      </c>
      <c r="X44" s="66">
        <v>47.0</v>
      </c>
      <c r="Y44" s="66">
        <v>60.0</v>
      </c>
      <c r="Z44" s="66">
        <v>67.0</v>
      </c>
      <c r="AA44" s="66">
        <v>27.0</v>
      </c>
      <c r="AB44" s="72">
        <v>22.0</v>
      </c>
      <c r="AC44" s="73">
        <v>24.0</v>
      </c>
      <c r="AD44" s="73"/>
      <c r="AE44" s="74">
        <v>45.0</v>
      </c>
      <c r="AF44" s="75">
        <v>21.0</v>
      </c>
      <c r="AG44" s="73">
        <v>13.0</v>
      </c>
      <c r="AH44" s="76"/>
      <c r="AI44" s="77">
        <f t="shared" si="7"/>
        <v>899</v>
      </c>
      <c r="AJ44" s="78">
        <f t="shared" si="8"/>
        <v>34.60869565</v>
      </c>
      <c r="AK44" s="79">
        <f t="shared" si="9"/>
        <v>33.2962963</v>
      </c>
      <c r="AL44" s="80"/>
      <c r="AM44" s="81"/>
      <c r="AP44" s="82">
        <f t="shared" si="12"/>
        <v>69</v>
      </c>
    </row>
    <row r="45" ht="17.25" customHeight="1">
      <c r="A45" s="69">
        <v>45885.0</v>
      </c>
      <c r="B45" s="70">
        <f t="shared" si="11"/>
        <v>23</v>
      </c>
      <c r="C45" s="71">
        <v>29.0</v>
      </c>
      <c r="D45" s="66">
        <v>12.0</v>
      </c>
      <c r="E45" s="66">
        <v>169.0</v>
      </c>
      <c r="F45" s="66">
        <v>39.0</v>
      </c>
      <c r="G45" s="66">
        <v>16.0</v>
      </c>
      <c r="H45" s="66">
        <v>23.0</v>
      </c>
      <c r="I45" s="66">
        <v>41.0</v>
      </c>
      <c r="J45" s="66">
        <v>38.0</v>
      </c>
      <c r="K45" s="66">
        <v>32.0</v>
      </c>
      <c r="L45" s="66">
        <v>17.0</v>
      </c>
      <c r="M45" s="66">
        <v>16.0</v>
      </c>
      <c r="N45" s="66"/>
      <c r="O45" s="66"/>
      <c r="P45" s="66"/>
      <c r="Q45" s="67">
        <v>6.0</v>
      </c>
      <c r="R45" s="66">
        <v>23.0</v>
      </c>
      <c r="S45" s="66">
        <v>25.0</v>
      </c>
      <c r="T45" s="66">
        <v>28.0</v>
      </c>
      <c r="U45" s="66">
        <v>73.0</v>
      </c>
      <c r="V45" s="66">
        <v>34.0</v>
      </c>
      <c r="W45" s="66">
        <v>6.0</v>
      </c>
      <c r="X45" s="66">
        <v>43.0</v>
      </c>
      <c r="Y45" s="66">
        <v>30.0</v>
      </c>
      <c r="Z45" s="66">
        <v>30.0</v>
      </c>
      <c r="AA45" s="66">
        <v>29.0</v>
      </c>
      <c r="AB45" s="72">
        <v>39.0</v>
      </c>
      <c r="AC45" s="73">
        <v>17.0</v>
      </c>
      <c r="AD45" s="73"/>
      <c r="AE45" s="74">
        <v>56.0</v>
      </c>
      <c r="AF45" s="75">
        <v>18.0</v>
      </c>
      <c r="AG45" s="73">
        <v>14.0</v>
      </c>
      <c r="AH45" s="76"/>
      <c r="AI45" s="77">
        <f t="shared" si="7"/>
        <v>903</v>
      </c>
      <c r="AJ45" s="78">
        <f t="shared" si="8"/>
        <v>34.69565217</v>
      </c>
      <c r="AK45" s="79">
        <f t="shared" si="9"/>
        <v>33.44444444</v>
      </c>
      <c r="AL45" s="80"/>
      <c r="AM45" s="81"/>
      <c r="AP45" s="82">
        <f t="shared" si="12"/>
        <v>73</v>
      </c>
    </row>
    <row r="46" ht="17.25" customHeight="1">
      <c r="A46" s="69">
        <v>45878.0</v>
      </c>
      <c r="B46" s="70">
        <f t="shared" si="11"/>
        <v>22</v>
      </c>
      <c r="C46" s="71">
        <v>53.0</v>
      </c>
      <c r="D46" s="66">
        <v>12.0</v>
      </c>
      <c r="E46" s="66">
        <v>137.0</v>
      </c>
      <c r="F46" s="66">
        <v>34.0</v>
      </c>
      <c r="G46" s="66">
        <v>23.0</v>
      </c>
      <c r="H46" s="66">
        <v>43.0</v>
      </c>
      <c r="I46" s="66">
        <v>54.0</v>
      </c>
      <c r="J46" s="66">
        <v>30.0</v>
      </c>
      <c r="K46" s="66">
        <v>22.0</v>
      </c>
      <c r="L46" s="66">
        <v>20.0</v>
      </c>
      <c r="M46" s="66">
        <v>22.0</v>
      </c>
      <c r="N46" s="66"/>
      <c r="O46" s="66"/>
      <c r="P46" s="66"/>
      <c r="Q46" s="67"/>
      <c r="R46" s="66">
        <v>26.0</v>
      </c>
      <c r="S46" s="66">
        <v>27.0</v>
      </c>
      <c r="T46" s="66">
        <v>15.0</v>
      </c>
      <c r="U46" s="66">
        <v>51.0</v>
      </c>
      <c r="V46" s="66">
        <v>24.0</v>
      </c>
      <c r="W46" s="66">
        <v>15.0</v>
      </c>
      <c r="X46" s="66">
        <v>82.0</v>
      </c>
      <c r="Y46" s="66">
        <v>32.0</v>
      </c>
      <c r="Z46" s="66">
        <v>34.0</v>
      </c>
      <c r="AA46" s="66">
        <v>38.0</v>
      </c>
      <c r="AB46" s="72">
        <v>29.0</v>
      </c>
      <c r="AC46" s="73">
        <v>18.0</v>
      </c>
      <c r="AD46" s="73"/>
      <c r="AE46" s="74">
        <v>44.0</v>
      </c>
      <c r="AF46" s="75">
        <v>50.0</v>
      </c>
      <c r="AG46" s="73">
        <v>11.0</v>
      </c>
      <c r="AH46" s="76"/>
      <c r="AI46" s="77">
        <f t="shared" si="7"/>
        <v>946</v>
      </c>
      <c r="AJ46" s="78">
        <f t="shared" si="8"/>
        <v>37.40909091</v>
      </c>
      <c r="AK46" s="79">
        <f t="shared" si="9"/>
        <v>36.38461538</v>
      </c>
      <c r="AL46" s="80"/>
      <c r="AM46" s="81"/>
      <c r="AP46" s="82">
        <f t="shared" si="12"/>
        <v>62</v>
      </c>
    </row>
    <row r="47" ht="17.25" customHeight="1">
      <c r="A47" s="69">
        <v>45871.0</v>
      </c>
      <c r="B47" s="70">
        <f t="shared" si="11"/>
        <v>22</v>
      </c>
      <c r="C47" s="71">
        <v>38.0</v>
      </c>
      <c r="D47" s="66">
        <v>11.0</v>
      </c>
      <c r="E47" s="66">
        <v>107.0</v>
      </c>
      <c r="F47" s="66">
        <v>33.0</v>
      </c>
      <c r="G47" s="66">
        <v>12.0</v>
      </c>
      <c r="H47" s="66">
        <v>26.0</v>
      </c>
      <c r="I47" s="66">
        <v>47.0</v>
      </c>
      <c r="J47" s="66">
        <v>29.0</v>
      </c>
      <c r="K47" s="66">
        <v>103.0</v>
      </c>
      <c r="L47" s="66">
        <v>10.0</v>
      </c>
      <c r="M47" s="66">
        <v>12.0</v>
      </c>
      <c r="N47" s="66"/>
      <c r="O47" s="66"/>
      <c r="P47" s="66"/>
      <c r="Q47" s="67"/>
      <c r="R47" s="66">
        <v>27.0</v>
      </c>
      <c r="S47" s="66">
        <v>25.0</v>
      </c>
      <c r="T47" s="66">
        <v>22.0</v>
      </c>
      <c r="U47" s="66">
        <v>32.0</v>
      </c>
      <c r="V47" s="66">
        <v>35.0</v>
      </c>
      <c r="W47" s="66">
        <v>6.0</v>
      </c>
      <c r="X47" s="66">
        <v>55.0</v>
      </c>
      <c r="Y47" s="66">
        <v>42.0</v>
      </c>
      <c r="Z47" s="66">
        <v>29.0</v>
      </c>
      <c r="AA47" s="66">
        <v>19.0</v>
      </c>
      <c r="AB47" s="72">
        <v>26.0</v>
      </c>
      <c r="AC47" s="73">
        <v>11.0</v>
      </c>
      <c r="AD47" s="73"/>
      <c r="AE47" s="74">
        <v>50.0</v>
      </c>
      <c r="AF47" s="75">
        <v>17.0</v>
      </c>
      <c r="AG47" s="73">
        <v>13.0</v>
      </c>
      <c r="AH47" s="76"/>
      <c r="AI47" s="77">
        <f t="shared" si="7"/>
        <v>837</v>
      </c>
      <c r="AJ47" s="78">
        <f t="shared" si="8"/>
        <v>33.90909091</v>
      </c>
      <c r="AK47" s="79">
        <f t="shared" si="9"/>
        <v>32.19230769</v>
      </c>
      <c r="AL47" s="80"/>
      <c r="AM47" s="81"/>
      <c r="AP47" s="82">
        <f t="shared" si="12"/>
        <v>61</v>
      </c>
    </row>
    <row r="48" ht="17.25" customHeight="1">
      <c r="A48" s="69">
        <v>45864.0</v>
      </c>
      <c r="B48" s="70">
        <f t="shared" si="11"/>
        <v>22</v>
      </c>
      <c r="C48" s="71">
        <v>35.0</v>
      </c>
      <c r="D48" s="66">
        <v>12.0</v>
      </c>
      <c r="E48" s="66">
        <v>149.0</v>
      </c>
      <c r="F48" s="66">
        <v>38.0</v>
      </c>
      <c r="G48" s="66">
        <v>12.0</v>
      </c>
      <c r="H48" s="66">
        <v>38.0</v>
      </c>
      <c r="I48" s="66">
        <v>43.0</v>
      </c>
      <c r="J48" s="66">
        <v>19.0</v>
      </c>
      <c r="K48" s="66">
        <v>32.0</v>
      </c>
      <c r="L48" s="66">
        <v>13.0</v>
      </c>
      <c r="M48" s="66">
        <v>17.0</v>
      </c>
      <c r="N48" s="66"/>
      <c r="O48" s="66"/>
      <c r="P48" s="66"/>
      <c r="Q48" s="67"/>
      <c r="R48" s="66">
        <v>13.0</v>
      </c>
      <c r="S48" s="66">
        <v>28.0</v>
      </c>
      <c r="T48" s="66">
        <v>18.0</v>
      </c>
      <c r="U48" s="66">
        <v>48.0</v>
      </c>
      <c r="V48" s="66">
        <v>34.0</v>
      </c>
      <c r="W48" s="66">
        <v>15.0</v>
      </c>
      <c r="X48" s="66">
        <v>69.0</v>
      </c>
      <c r="Y48" s="66">
        <v>45.0</v>
      </c>
      <c r="Z48" s="66">
        <v>41.0</v>
      </c>
      <c r="AA48" s="66">
        <v>20.0</v>
      </c>
      <c r="AB48" s="72">
        <v>22.0</v>
      </c>
      <c r="AC48" s="73">
        <v>12.0</v>
      </c>
      <c r="AD48" s="73"/>
      <c r="AE48" s="74">
        <v>54.0</v>
      </c>
      <c r="AF48" s="75">
        <v>15.0</v>
      </c>
      <c r="AG48" s="73">
        <v>13.0</v>
      </c>
      <c r="AH48" s="76"/>
      <c r="AI48" s="77">
        <f t="shared" si="7"/>
        <v>855</v>
      </c>
      <c r="AJ48" s="78">
        <f t="shared" si="8"/>
        <v>34.59090909</v>
      </c>
      <c r="AK48" s="79">
        <f t="shared" si="9"/>
        <v>32.88461538</v>
      </c>
      <c r="AL48" s="80"/>
      <c r="AM48" s="81"/>
      <c r="AP48" s="82">
        <f t="shared" si="12"/>
        <v>66</v>
      </c>
    </row>
    <row r="49" ht="17.25" customHeight="1">
      <c r="A49" s="69">
        <v>45857.0</v>
      </c>
      <c r="B49" s="70">
        <f t="shared" si="11"/>
        <v>21</v>
      </c>
      <c r="C49" s="71">
        <v>24.0</v>
      </c>
      <c r="D49" s="66">
        <v>14.0</v>
      </c>
      <c r="E49" s="66">
        <v>777.0</v>
      </c>
      <c r="F49" s="66">
        <v>26.0</v>
      </c>
      <c r="G49" s="66">
        <v>9.0</v>
      </c>
      <c r="H49" s="66">
        <v>39.0</v>
      </c>
      <c r="I49" s="66">
        <v>39.0</v>
      </c>
      <c r="J49" s="66">
        <v>15.0</v>
      </c>
      <c r="K49" s="66">
        <v>27.0</v>
      </c>
      <c r="L49" s="66">
        <v>13.0</v>
      </c>
      <c r="M49" s="66"/>
      <c r="N49" s="66"/>
      <c r="O49" s="66"/>
      <c r="P49" s="66"/>
      <c r="Q49" s="67"/>
      <c r="R49" s="66">
        <v>13.0</v>
      </c>
      <c r="S49" s="66">
        <v>17.0</v>
      </c>
      <c r="T49" s="66">
        <v>16.0</v>
      </c>
      <c r="U49" s="66">
        <v>44.0</v>
      </c>
      <c r="V49" s="66">
        <v>27.0</v>
      </c>
      <c r="W49" s="66">
        <v>20.0</v>
      </c>
      <c r="X49" s="66">
        <v>86.0</v>
      </c>
      <c r="Y49" s="66">
        <v>36.0</v>
      </c>
      <c r="Z49" s="66">
        <v>35.0</v>
      </c>
      <c r="AA49" s="66">
        <v>31.0</v>
      </c>
      <c r="AB49" s="72">
        <v>24.0</v>
      </c>
      <c r="AC49" s="73">
        <v>16.0</v>
      </c>
      <c r="AD49" s="73"/>
      <c r="AE49" s="74">
        <v>49.0</v>
      </c>
      <c r="AF49" s="75">
        <v>11.0</v>
      </c>
      <c r="AG49" s="73">
        <v>13.0</v>
      </c>
      <c r="AH49" s="76"/>
      <c r="AI49" s="77">
        <f t="shared" si="7"/>
        <v>1421</v>
      </c>
      <c r="AJ49" s="78">
        <f t="shared" si="8"/>
        <v>63.42857143</v>
      </c>
      <c r="AK49" s="79">
        <f t="shared" si="9"/>
        <v>56.84</v>
      </c>
      <c r="AL49" s="80"/>
      <c r="AM49" s="81"/>
      <c r="AN49" s="68" t="s">
        <v>52</v>
      </c>
      <c r="AP49" s="82">
        <f t="shared" si="12"/>
        <v>65</v>
      </c>
    </row>
    <row r="50" ht="17.25" customHeight="1">
      <c r="A50" s="83">
        <v>45850.0</v>
      </c>
      <c r="B50" s="70">
        <f t="shared" si="11"/>
        <v>20</v>
      </c>
      <c r="C50" s="71">
        <v>29.0</v>
      </c>
      <c r="D50" s="66">
        <v>10.0</v>
      </c>
      <c r="E50" s="66">
        <v>98.0</v>
      </c>
      <c r="F50" s="66">
        <v>17.0</v>
      </c>
      <c r="G50" s="66">
        <v>7.0</v>
      </c>
      <c r="H50" s="66">
        <v>27.0</v>
      </c>
      <c r="I50" s="66">
        <v>164.0</v>
      </c>
      <c r="J50" s="66">
        <v>22.0</v>
      </c>
      <c r="K50" s="66">
        <v>30.0</v>
      </c>
      <c r="L50" s="66">
        <v>5.0</v>
      </c>
      <c r="M50" s="66"/>
      <c r="N50" s="66"/>
      <c r="O50" s="66"/>
      <c r="P50" s="66"/>
      <c r="Q50" s="67"/>
      <c r="R50" s="66">
        <v>13.0</v>
      </c>
      <c r="S50" s="66">
        <v>23.0</v>
      </c>
      <c r="T50" s="66">
        <v>13.0</v>
      </c>
      <c r="U50" s="66">
        <v>44.0</v>
      </c>
      <c r="V50" s="66">
        <v>23.0</v>
      </c>
      <c r="W50" s="66">
        <v>20.0</v>
      </c>
      <c r="X50" s="66"/>
      <c r="Y50" s="66">
        <v>24.0</v>
      </c>
      <c r="Z50" s="66">
        <v>39.0</v>
      </c>
      <c r="AA50" s="66">
        <v>26.0</v>
      </c>
      <c r="AB50" s="72">
        <v>15.0</v>
      </c>
      <c r="AC50" s="73">
        <v>16.0</v>
      </c>
      <c r="AD50" s="73"/>
      <c r="AE50" s="74">
        <v>27.0</v>
      </c>
      <c r="AF50" s="75">
        <v>17.0</v>
      </c>
      <c r="AG50" s="73">
        <v>6.0</v>
      </c>
      <c r="AH50" s="76"/>
      <c r="AI50" s="77">
        <f t="shared" si="7"/>
        <v>715</v>
      </c>
      <c r="AJ50" s="78">
        <f t="shared" si="8"/>
        <v>32.45</v>
      </c>
      <c r="AK50" s="79">
        <f t="shared" si="9"/>
        <v>29.79166667</v>
      </c>
      <c r="AL50" s="80"/>
      <c r="AM50" s="81"/>
      <c r="AP50" s="82">
        <f t="shared" si="12"/>
        <v>43</v>
      </c>
    </row>
    <row r="51" ht="17.25" customHeight="1">
      <c r="A51" s="83">
        <v>45843.0</v>
      </c>
      <c r="B51" s="70">
        <f t="shared" si="11"/>
        <v>19</v>
      </c>
      <c r="C51" s="71">
        <v>44.0</v>
      </c>
      <c r="D51" s="66">
        <v>9.0</v>
      </c>
      <c r="E51" s="66">
        <v>101.0</v>
      </c>
      <c r="F51" s="66">
        <v>39.0</v>
      </c>
      <c r="G51" s="66">
        <v>13.0</v>
      </c>
      <c r="H51" s="66">
        <v>31.0</v>
      </c>
      <c r="I51" s="66">
        <v>37.0</v>
      </c>
      <c r="J51" s="66">
        <v>27.0</v>
      </c>
      <c r="K51" s="66">
        <v>29.0</v>
      </c>
      <c r="L51" s="66">
        <v>6.0</v>
      </c>
      <c r="M51" s="66"/>
      <c r="N51" s="66"/>
      <c r="O51" s="66"/>
      <c r="P51" s="66"/>
      <c r="Q51" s="67"/>
      <c r="R51" s="66">
        <v>16.0</v>
      </c>
      <c r="S51" s="66"/>
      <c r="T51" s="66">
        <v>16.0</v>
      </c>
      <c r="U51" s="66">
        <v>38.0</v>
      </c>
      <c r="V51" s="66"/>
      <c r="W51" s="66">
        <v>18.0</v>
      </c>
      <c r="X51" s="66">
        <v>62.0</v>
      </c>
      <c r="Y51" s="66">
        <v>24.0</v>
      </c>
      <c r="Z51" s="66">
        <v>35.0</v>
      </c>
      <c r="AA51" s="66">
        <v>14.0</v>
      </c>
      <c r="AB51" s="72">
        <v>24.0</v>
      </c>
      <c r="AC51" s="73">
        <v>10.0</v>
      </c>
      <c r="AD51" s="73"/>
      <c r="AE51" s="74">
        <v>31.0</v>
      </c>
      <c r="AF51" s="75">
        <v>13.0</v>
      </c>
      <c r="AG51" s="73">
        <v>13.0</v>
      </c>
      <c r="AH51" s="76"/>
      <c r="AI51" s="77">
        <f t="shared" si="7"/>
        <v>650</v>
      </c>
      <c r="AJ51" s="78">
        <f t="shared" si="8"/>
        <v>30.68421053</v>
      </c>
      <c r="AK51" s="79">
        <f t="shared" si="9"/>
        <v>28.26086957</v>
      </c>
      <c r="AL51" s="80"/>
      <c r="AM51" s="81"/>
      <c r="AP51" s="82">
        <f t="shared" si="12"/>
        <v>41</v>
      </c>
    </row>
    <row r="52" ht="17.25" customHeight="1">
      <c r="A52" s="83">
        <v>45836.0</v>
      </c>
      <c r="B52" s="70">
        <f t="shared" si="11"/>
        <v>20</v>
      </c>
      <c r="C52" s="71">
        <v>50.0</v>
      </c>
      <c r="D52" s="66">
        <v>13.0</v>
      </c>
      <c r="E52" s="66">
        <v>199.0</v>
      </c>
      <c r="F52" s="66">
        <v>53.0</v>
      </c>
      <c r="G52" s="66">
        <v>14.0</v>
      </c>
      <c r="H52" s="66">
        <v>43.0</v>
      </c>
      <c r="I52" s="66">
        <v>46.0</v>
      </c>
      <c r="J52" s="66">
        <v>29.0</v>
      </c>
      <c r="K52" s="66">
        <v>27.0</v>
      </c>
      <c r="L52" s="66">
        <v>8.0</v>
      </c>
      <c r="M52" s="66"/>
      <c r="N52" s="66"/>
      <c r="O52" s="66"/>
      <c r="P52" s="66"/>
      <c r="Q52" s="67"/>
      <c r="R52" s="66">
        <v>23.0</v>
      </c>
      <c r="S52" s="66">
        <v>23.0</v>
      </c>
      <c r="T52" s="66">
        <v>13.0</v>
      </c>
      <c r="U52" s="66">
        <v>60.0</v>
      </c>
      <c r="V52" s="66">
        <v>30.0</v>
      </c>
      <c r="W52" s="66">
        <v>32.0</v>
      </c>
      <c r="X52" s="66">
        <v>46.0</v>
      </c>
      <c r="Y52" s="66">
        <v>30.0</v>
      </c>
      <c r="Z52" s="66">
        <v>38.0</v>
      </c>
      <c r="AA52" s="66">
        <v>30.0</v>
      </c>
      <c r="AB52" s="72"/>
      <c r="AC52" s="73">
        <v>6.0</v>
      </c>
      <c r="AD52" s="73"/>
      <c r="AE52" s="74">
        <v>30.0</v>
      </c>
      <c r="AF52" s="75">
        <v>12.0</v>
      </c>
      <c r="AG52" s="73">
        <v>8.0</v>
      </c>
      <c r="AH52" s="76"/>
      <c r="AI52" s="77">
        <f t="shared" si="7"/>
        <v>863</v>
      </c>
      <c r="AJ52" s="78">
        <f t="shared" si="8"/>
        <v>40.35</v>
      </c>
      <c r="AK52" s="79">
        <f t="shared" si="9"/>
        <v>35.95833333</v>
      </c>
      <c r="AL52" s="80"/>
      <c r="AM52" s="81"/>
      <c r="AP52" s="82">
        <f t="shared" si="12"/>
        <v>36</v>
      </c>
    </row>
    <row r="53" ht="17.25" customHeight="1">
      <c r="A53" s="83">
        <v>45829.0</v>
      </c>
      <c r="B53" s="70">
        <f t="shared" si="11"/>
        <v>19</v>
      </c>
      <c r="C53" s="71">
        <v>43.0</v>
      </c>
      <c r="D53" s="66">
        <v>20.0</v>
      </c>
      <c r="E53" s="66">
        <v>198.0</v>
      </c>
      <c r="F53" s="66">
        <v>32.0</v>
      </c>
      <c r="G53" s="66">
        <v>10.0</v>
      </c>
      <c r="H53" s="66">
        <v>35.0</v>
      </c>
      <c r="I53" s="66">
        <v>44.0</v>
      </c>
      <c r="J53" s="66">
        <v>35.0</v>
      </c>
      <c r="K53" s="66">
        <v>20.0</v>
      </c>
      <c r="L53" s="66">
        <v>9.0</v>
      </c>
      <c r="M53" s="66"/>
      <c r="N53" s="66"/>
      <c r="O53" s="66"/>
      <c r="P53" s="66"/>
      <c r="Q53" s="67"/>
      <c r="R53" s="66">
        <v>13.0</v>
      </c>
      <c r="S53" s="66">
        <v>15.0</v>
      </c>
      <c r="T53" s="66">
        <v>13.0</v>
      </c>
      <c r="U53" s="66">
        <v>52.0</v>
      </c>
      <c r="V53" s="66">
        <v>27.0</v>
      </c>
      <c r="W53" s="66"/>
      <c r="X53" s="66">
        <v>59.0</v>
      </c>
      <c r="Y53" s="66">
        <v>21.0</v>
      </c>
      <c r="Z53" s="66">
        <v>25.0</v>
      </c>
      <c r="AA53" s="66">
        <v>8.0</v>
      </c>
      <c r="AB53" s="72"/>
      <c r="AC53" s="73">
        <v>18.0</v>
      </c>
      <c r="AD53" s="73"/>
      <c r="AE53" s="74">
        <v>33.0</v>
      </c>
      <c r="AF53" s="75">
        <v>11.0</v>
      </c>
      <c r="AG53" s="73">
        <v>20.0</v>
      </c>
      <c r="AH53" s="76"/>
      <c r="AI53" s="77">
        <f t="shared" si="7"/>
        <v>761</v>
      </c>
      <c r="AJ53" s="78">
        <f t="shared" si="8"/>
        <v>35.73684211</v>
      </c>
      <c r="AK53" s="79">
        <f t="shared" si="9"/>
        <v>33.08695652</v>
      </c>
      <c r="AL53" s="80"/>
      <c r="AM53" s="81"/>
      <c r="AP53" s="82">
        <f t="shared" si="12"/>
        <v>51</v>
      </c>
    </row>
    <row r="54" ht="17.25" customHeight="1">
      <c r="A54" s="83">
        <v>45822.0</v>
      </c>
      <c r="B54" s="70">
        <f t="shared" si="11"/>
        <v>20</v>
      </c>
      <c r="C54" s="71">
        <v>42.0</v>
      </c>
      <c r="D54" s="66">
        <v>9.0</v>
      </c>
      <c r="E54" s="66">
        <v>173.0</v>
      </c>
      <c r="F54" s="66">
        <v>31.0</v>
      </c>
      <c r="G54" s="66">
        <v>11.0</v>
      </c>
      <c r="H54" s="66">
        <v>24.0</v>
      </c>
      <c r="I54" s="66">
        <v>30.0</v>
      </c>
      <c r="J54" s="66">
        <v>23.0</v>
      </c>
      <c r="K54" s="66">
        <v>17.0</v>
      </c>
      <c r="L54" s="66">
        <v>5.0</v>
      </c>
      <c r="M54" s="66"/>
      <c r="N54" s="66"/>
      <c r="O54" s="66"/>
      <c r="P54" s="66"/>
      <c r="Q54" s="67"/>
      <c r="R54" s="66">
        <v>14.0</v>
      </c>
      <c r="S54" s="66">
        <v>20.0</v>
      </c>
      <c r="T54" s="66">
        <v>10.0</v>
      </c>
      <c r="U54" s="66">
        <v>32.0</v>
      </c>
      <c r="V54" s="66">
        <v>12.0</v>
      </c>
      <c r="W54" s="66">
        <v>21.0</v>
      </c>
      <c r="X54" s="66">
        <v>71.0</v>
      </c>
      <c r="Y54" s="66">
        <v>32.0</v>
      </c>
      <c r="Z54" s="66">
        <v>39.0</v>
      </c>
      <c r="AA54" s="66">
        <v>11.0</v>
      </c>
      <c r="AB54" s="72"/>
      <c r="AC54" s="73">
        <v>18.0</v>
      </c>
      <c r="AD54" s="73"/>
      <c r="AE54" s="74">
        <v>22.0</v>
      </c>
      <c r="AF54" s="75">
        <v>11.0</v>
      </c>
      <c r="AG54" s="73">
        <v>15.0</v>
      </c>
      <c r="AH54" s="76"/>
      <c r="AI54" s="77">
        <f t="shared" si="7"/>
        <v>693</v>
      </c>
      <c r="AJ54" s="78">
        <f t="shared" si="8"/>
        <v>31.35</v>
      </c>
      <c r="AK54" s="79">
        <f t="shared" si="9"/>
        <v>28.875</v>
      </c>
      <c r="AL54" s="80"/>
      <c r="AM54" s="81"/>
      <c r="AP54" s="82">
        <f t="shared" si="12"/>
        <v>40</v>
      </c>
    </row>
    <row r="55" ht="17.25" customHeight="1">
      <c r="A55" s="83">
        <v>45815.0</v>
      </c>
      <c r="B55" s="70">
        <f t="shared" si="11"/>
        <v>19</v>
      </c>
      <c r="C55" s="71">
        <v>49.0</v>
      </c>
      <c r="D55" s="66">
        <v>11.0</v>
      </c>
      <c r="E55" s="66">
        <v>180.0</v>
      </c>
      <c r="F55" s="66">
        <v>51.0</v>
      </c>
      <c r="G55" s="66">
        <v>19.0</v>
      </c>
      <c r="H55" s="66">
        <v>70.0</v>
      </c>
      <c r="I55" s="66">
        <v>55.0</v>
      </c>
      <c r="J55" s="66">
        <v>67.0</v>
      </c>
      <c r="K55" s="66">
        <v>39.0</v>
      </c>
      <c r="L55" s="66">
        <v>30.0</v>
      </c>
      <c r="M55" s="66"/>
      <c r="N55" s="66"/>
      <c r="O55" s="66"/>
      <c r="P55" s="66"/>
      <c r="Q55" s="67"/>
      <c r="R55" s="66">
        <v>18.0</v>
      </c>
      <c r="S55" s="66">
        <v>19.0</v>
      </c>
      <c r="T55" s="66">
        <v>18.0</v>
      </c>
      <c r="U55" s="66">
        <v>66.0</v>
      </c>
      <c r="V55" s="66">
        <v>27.0</v>
      </c>
      <c r="W55" s="66">
        <v>13.0</v>
      </c>
      <c r="X55" s="66">
        <v>65.0</v>
      </c>
      <c r="Y55" s="66">
        <v>41.0</v>
      </c>
      <c r="Z55" s="66">
        <v>20.0</v>
      </c>
      <c r="AA55" s="66"/>
      <c r="AB55" s="72"/>
      <c r="AC55" s="73">
        <v>22.0</v>
      </c>
      <c r="AD55" s="73"/>
      <c r="AE55" s="74">
        <v>25.0</v>
      </c>
      <c r="AF55" s="75">
        <v>16.0</v>
      </c>
      <c r="AG55" s="73">
        <v>27.0</v>
      </c>
      <c r="AH55" s="76">
        <v>250.0</v>
      </c>
      <c r="AI55" s="77">
        <f t="shared" si="7"/>
        <v>1198</v>
      </c>
      <c r="AJ55" s="78">
        <f t="shared" si="8"/>
        <v>45.15789474</v>
      </c>
      <c r="AK55" s="79">
        <f t="shared" si="9"/>
        <v>49.91666667</v>
      </c>
      <c r="AL55" s="80"/>
      <c r="AM55" s="81"/>
      <c r="AN55" s="68" t="s">
        <v>53</v>
      </c>
      <c r="AP55" s="82">
        <f t="shared" si="12"/>
        <v>47</v>
      </c>
    </row>
    <row r="56" ht="17.25" customHeight="1">
      <c r="A56" s="83">
        <v>45808.0</v>
      </c>
      <c r="B56" s="70">
        <f t="shared" si="11"/>
        <v>18</v>
      </c>
      <c r="C56" s="71">
        <v>64.0</v>
      </c>
      <c r="D56" s="66">
        <v>14.0</v>
      </c>
      <c r="E56" s="66">
        <v>162.0</v>
      </c>
      <c r="F56" s="66">
        <v>41.0</v>
      </c>
      <c r="G56" s="66">
        <v>17.0</v>
      </c>
      <c r="H56" s="66">
        <v>56.0</v>
      </c>
      <c r="I56" s="66">
        <v>41.0</v>
      </c>
      <c r="J56" s="66">
        <v>800.0</v>
      </c>
      <c r="K56" s="66">
        <v>34.0</v>
      </c>
      <c r="L56" s="66">
        <v>4.0</v>
      </c>
      <c r="M56" s="66"/>
      <c r="N56" s="66"/>
      <c r="O56" s="66"/>
      <c r="P56" s="66"/>
      <c r="Q56" s="67"/>
      <c r="R56" s="66">
        <v>25.0</v>
      </c>
      <c r="S56" s="66">
        <v>26.0</v>
      </c>
      <c r="T56" s="66">
        <v>17.0</v>
      </c>
      <c r="U56" s="66">
        <v>41.0</v>
      </c>
      <c r="V56" s="66"/>
      <c r="W56" s="66">
        <v>10.0</v>
      </c>
      <c r="X56" s="66">
        <v>74.0</v>
      </c>
      <c r="Y56" s="66">
        <v>13.0</v>
      </c>
      <c r="Z56" s="66">
        <v>28.0</v>
      </c>
      <c r="AA56" s="66"/>
      <c r="AB56" s="72"/>
      <c r="AC56" s="73">
        <v>10.0</v>
      </c>
      <c r="AD56" s="73"/>
      <c r="AE56" s="74">
        <v>13.0</v>
      </c>
      <c r="AF56" s="75">
        <v>19.0</v>
      </c>
      <c r="AG56" s="73">
        <v>33.0</v>
      </c>
      <c r="AH56" s="76"/>
      <c r="AI56" s="77">
        <f t="shared" si="7"/>
        <v>1542</v>
      </c>
      <c r="AJ56" s="78">
        <f t="shared" si="8"/>
        <v>81.5</v>
      </c>
      <c r="AK56" s="79">
        <f t="shared" si="9"/>
        <v>70.09090909</v>
      </c>
      <c r="AL56" s="80"/>
      <c r="AM56" s="81"/>
      <c r="AN56" s="68" t="s">
        <v>54</v>
      </c>
      <c r="AP56" s="82">
        <f t="shared" si="12"/>
        <v>23</v>
      </c>
    </row>
    <row r="57" ht="17.25" customHeight="1">
      <c r="A57" s="83">
        <v>45801.0</v>
      </c>
      <c r="B57" s="70">
        <f t="shared" si="11"/>
        <v>16</v>
      </c>
      <c r="C57" s="71">
        <v>42.0</v>
      </c>
      <c r="D57" s="66">
        <v>15.0</v>
      </c>
      <c r="E57" s="66">
        <v>180.0</v>
      </c>
      <c r="F57" s="66">
        <v>45.0</v>
      </c>
      <c r="G57" s="66">
        <v>11.0</v>
      </c>
      <c r="H57" s="66">
        <v>39.0</v>
      </c>
      <c r="I57" s="66">
        <v>55.0</v>
      </c>
      <c r="J57" s="66">
        <v>29.0</v>
      </c>
      <c r="K57" s="66">
        <v>51.0</v>
      </c>
      <c r="L57" s="66">
        <v>6.0</v>
      </c>
      <c r="M57" s="66"/>
      <c r="N57" s="66"/>
      <c r="O57" s="66"/>
      <c r="P57" s="66"/>
      <c r="Q57" s="67"/>
      <c r="R57" s="66">
        <v>8.0</v>
      </c>
      <c r="S57" s="66">
        <v>26.0</v>
      </c>
      <c r="T57" s="66">
        <v>12.0</v>
      </c>
      <c r="U57" s="66"/>
      <c r="V57" s="66">
        <v>31.0</v>
      </c>
      <c r="W57" s="66">
        <v>3.0</v>
      </c>
      <c r="X57" s="66"/>
      <c r="Y57" s="66">
        <v>4.0</v>
      </c>
      <c r="Z57" s="66"/>
      <c r="AA57" s="66"/>
      <c r="AB57" s="72"/>
      <c r="AC57" s="73">
        <v>10.0</v>
      </c>
      <c r="AD57" s="73"/>
      <c r="AE57" s="74">
        <v>19.0</v>
      </c>
      <c r="AF57" s="75">
        <v>25.0</v>
      </c>
      <c r="AG57" s="73">
        <v>24.0</v>
      </c>
      <c r="AH57" s="76"/>
      <c r="AI57" s="77">
        <f t="shared" si="7"/>
        <v>635</v>
      </c>
      <c r="AJ57" s="78">
        <f t="shared" si="8"/>
        <v>34.8125</v>
      </c>
      <c r="AK57" s="79">
        <f t="shared" si="9"/>
        <v>31.75</v>
      </c>
      <c r="AL57" s="80"/>
      <c r="AM57" s="81"/>
      <c r="AN57" s="68" t="s">
        <v>55</v>
      </c>
      <c r="AP57" s="82">
        <f t="shared" si="12"/>
        <v>29</v>
      </c>
    </row>
    <row r="58" ht="17.25" customHeight="1">
      <c r="A58" s="83">
        <v>45794.0</v>
      </c>
      <c r="B58" s="70">
        <f t="shared" si="11"/>
        <v>19</v>
      </c>
      <c r="C58" s="71">
        <v>90.0</v>
      </c>
      <c r="D58" s="66">
        <v>9.0</v>
      </c>
      <c r="E58" s="66">
        <v>149.0</v>
      </c>
      <c r="F58" s="66">
        <v>35.0</v>
      </c>
      <c r="G58" s="66">
        <v>8.0</v>
      </c>
      <c r="H58" s="66">
        <v>40.0</v>
      </c>
      <c r="I58" s="66">
        <v>39.0</v>
      </c>
      <c r="J58" s="66">
        <v>41.0</v>
      </c>
      <c r="K58" s="66">
        <v>26.0</v>
      </c>
      <c r="L58" s="66">
        <v>9.0</v>
      </c>
      <c r="M58" s="66"/>
      <c r="N58" s="66"/>
      <c r="O58" s="66"/>
      <c r="P58" s="66"/>
      <c r="Q58" s="67"/>
      <c r="R58" s="66">
        <v>15.0</v>
      </c>
      <c r="S58" s="66">
        <v>22.0</v>
      </c>
      <c r="T58" s="66">
        <v>19.0</v>
      </c>
      <c r="U58" s="66">
        <v>58.0</v>
      </c>
      <c r="V58" s="66">
        <v>24.0</v>
      </c>
      <c r="W58" s="66">
        <v>14.0</v>
      </c>
      <c r="X58" s="66">
        <v>86.0</v>
      </c>
      <c r="Y58" s="66">
        <v>36.0</v>
      </c>
      <c r="Z58" s="66">
        <v>37.0</v>
      </c>
      <c r="AA58" s="66"/>
      <c r="AB58" s="72"/>
      <c r="AC58" s="73">
        <v>14.0</v>
      </c>
      <c r="AD58" s="73"/>
      <c r="AE58" s="74">
        <v>27.0</v>
      </c>
      <c r="AF58" s="75">
        <v>13.0</v>
      </c>
      <c r="AG58" s="73">
        <v>73.0</v>
      </c>
      <c r="AH58" s="76"/>
      <c r="AI58" s="77">
        <f t="shared" si="7"/>
        <v>884</v>
      </c>
      <c r="AJ58" s="78">
        <f t="shared" si="8"/>
        <v>39.84210526</v>
      </c>
      <c r="AK58" s="79">
        <f t="shared" si="9"/>
        <v>38.43478261</v>
      </c>
      <c r="AL58" s="80"/>
      <c r="AM58" s="81"/>
      <c r="AN58" s="68" t="s">
        <v>56</v>
      </c>
      <c r="AP58" s="82">
        <f t="shared" si="12"/>
        <v>41</v>
      </c>
    </row>
    <row r="59" ht="17.25" customHeight="1">
      <c r="A59" s="83">
        <v>45787.0</v>
      </c>
      <c r="B59" s="70">
        <f t="shared" si="11"/>
        <v>19</v>
      </c>
      <c r="C59" s="71">
        <v>37.0</v>
      </c>
      <c r="D59" s="66">
        <v>15.0</v>
      </c>
      <c r="E59" s="66">
        <v>232.0</v>
      </c>
      <c r="F59" s="66">
        <v>45.0</v>
      </c>
      <c r="G59" s="66">
        <v>13.0</v>
      </c>
      <c r="H59" s="66">
        <v>30.0</v>
      </c>
      <c r="I59" s="66">
        <v>62.0</v>
      </c>
      <c r="J59" s="66">
        <v>22.0</v>
      </c>
      <c r="K59" s="66">
        <v>24.0</v>
      </c>
      <c r="L59" s="66">
        <v>6.0</v>
      </c>
      <c r="M59" s="66"/>
      <c r="N59" s="66"/>
      <c r="O59" s="66"/>
      <c r="P59" s="66"/>
      <c r="Q59" s="67"/>
      <c r="R59" s="66">
        <v>17.0</v>
      </c>
      <c r="S59" s="66">
        <v>22.0</v>
      </c>
      <c r="T59" s="66">
        <v>22.0</v>
      </c>
      <c r="U59" s="66">
        <v>51.0</v>
      </c>
      <c r="V59" s="66">
        <v>39.0</v>
      </c>
      <c r="W59" s="66">
        <v>55.0</v>
      </c>
      <c r="X59" s="66">
        <v>46.0</v>
      </c>
      <c r="Y59" s="66">
        <v>14.0</v>
      </c>
      <c r="Z59" s="66">
        <v>13.0</v>
      </c>
      <c r="AA59" s="66"/>
      <c r="AB59" s="72"/>
      <c r="AC59" s="73">
        <v>13.0</v>
      </c>
      <c r="AD59" s="73"/>
      <c r="AE59" s="74">
        <v>21.0</v>
      </c>
      <c r="AF59" s="75">
        <v>20.0</v>
      </c>
      <c r="AG59" s="73">
        <v>13.0</v>
      </c>
      <c r="AH59" s="76"/>
      <c r="AI59" s="77">
        <f t="shared" si="7"/>
        <v>832</v>
      </c>
      <c r="AJ59" s="78">
        <f t="shared" si="8"/>
        <v>40.26315789</v>
      </c>
      <c r="AK59" s="79">
        <f t="shared" si="9"/>
        <v>36.17391304</v>
      </c>
      <c r="AL59" s="80"/>
      <c r="AM59" s="81"/>
      <c r="AN59" s="68"/>
      <c r="AP59" s="82">
        <f t="shared" si="12"/>
        <v>34</v>
      </c>
    </row>
    <row r="60" ht="17.25" customHeight="1">
      <c r="A60" s="83">
        <v>45780.0</v>
      </c>
      <c r="B60" s="70">
        <f t="shared" si="11"/>
        <v>19</v>
      </c>
      <c r="C60" s="71">
        <v>34.0</v>
      </c>
      <c r="D60" s="66">
        <v>6.0</v>
      </c>
      <c r="E60" s="66">
        <v>112.0</v>
      </c>
      <c r="F60" s="66">
        <v>38.0</v>
      </c>
      <c r="G60" s="66">
        <v>14.0</v>
      </c>
      <c r="H60" s="66">
        <v>29.0</v>
      </c>
      <c r="I60" s="66">
        <v>37.0</v>
      </c>
      <c r="J60" s="66">
        <v>32.0</v>
      </c>
      <c r="K60" s="66">
        <v>23.0</v>
      </c>
      <c r="L60" s="66">
        <v>4.0</v>
      </c>
      <c r="M60" s="66"/>
      <c r="N60" s="66"/>
      <c r="O60" s="66"/>
      <c r="P60" s="66"/>
      <c r="Q60" s="67"/>
      <c r="R60" s="66">
        <v>11.0</v>
      </c>
      <c r="S60" s="66">
        <v>23.0</v>
      </c>
      <c r="T60" s="66">
        <v>11.0</v>
      </c>
      <c r="U60" s="66">
        <v>47.0</v>
      </c>
      <c r="V60" s="66">
        <v>27.0</v>
      </c>
      <c r="W60" s="66">
        <v>9.0</v>
      </c>
      <c r="X60" s="66">
        <v>75.0</v>
      </c>
      <c r="Y60" s="66">
        <v>11.0</v>
      </c>
      <c r="Z60" s="66">
        <v>38.0</v>
      </c>
      <c r="AA60" s="66"/>
      <c r="AB60" s="72"/>
      <c r="AC60" s="73">
        <v>21.0</v>
      </c>
      <c r="AD60" s="73"/>
      <c r="AE60" s="74">
        <v>29.0</v>
      </c>
      <c r="AF60" s="75">
        <v>18.0</v>
      </c>
      <c r="AG60" s="73">
        <v>19.0</v>
      </c>
      <c r="AH60" s="76"/>
      <c r="AI60" s="77">
        <f t="shared" si="7"/>
        <v>668</v>
      </c>
      <c r="AJ60" s="78">
        <f t="shared" si="8"/>
        <v>30.57894737</v>
      </c>
      <c r="AK60" s="79">
        <f t="shared" si="9"/>
        <v>29.04347826</v>
      </c>
      <c r="AL60" s="80"/>
      <c r="AM60" s="81"/>
      <c r="AN60" s="68"/>
      <c r="AP60" s="82">
        <f t="shared" si="12"/>
        <v>50</v>
      </c>
    </row>
    <row r="61" ht="17.25" customHeight="1">
      <c r="A61" s="83">
        <v>45773.0</v>
      </c>
      <c r="B61" s="70">
        <f t="shared" si="11"/>
        <v>19</v>
      </c>
      <c r="C61" s="71">
        <v>41.0</v>
      </c>
      <c r="D61" s="66">
        <v>11.0</v>
      </c>
      <c r="E61" s="66">
        <v>120.0</v>
      </c>
      <c r="F61" s="66">
        <v>28.0</v>
      </c>
      <c r="G61" s="66">
        <v>8.0</v>
      </c>
      <c r="H61" s="66">
        <v>41.0</v>
      </c>
      <c r="I61" s="66">
        <v>45.0</v>
      </c>
      <c r="J61" s="66">
        <v>33.0</v>
      </c>
      <c r="K61" s="66">
        <v>27.0</v>
      </c>
      <c r="L61" s="66">
        <v>4.0</v>
      </c>
      <c r="M61" s="66"/>
      <c r="N61" s="66"/>
      <c r="O61" s="66"/>
      <c r="P61" s="66"/>
      <c r="Q61" s="67"/>
      <c r="R61" s="66">
        <v>16.0</v>
      </c>
      <c r="S61" s="66">
        <v>17.0</v>
      </c>
      <c r="T61" s="66">
        <v>13.0</v>
      </c>
      <c r="U61" s="66">
        <v>38.0</v>
      </c>
      <c r="V61" s="66">
        <v>18.0</v>
      </c>
      <c r="W61" s="66">
        <v>4.0</v>
      </c>
      <c r="X61" s="66">
        <v>96.0</v>
      </c>
      <c r="Y61" s="66">
        <v>25.0</v>
      </c>
      <c r="Z61" s="66">
        <v>39.0</v>
      </c>
      <c r="AA61" s="66"/>
      <c r="AB61" s="72"/>
      <c r="AC61" s="73"/>
      <c r="AD61" s="73"/>
      <c r="AE61" s="74">
        <v>23.0</v>
      </c>
      <c r="AF61" s="75">
        <v>21.0</v>
      </c>
      <c r="AG61" s="73">
        <v>9.0</v>
      </c>
      <c r="AH61" s="76"/>
      <c r="AI61" s="77">
        <f t="shared" si="7"/>
        <v>677</v>
      </c>
      <c r="AJ61" s="78">
        <f t="shared" si="8"/>
        <v>32.84210526</v>
      </c>
      <c r="AK61" s="79">
        <f t="shared" si="9"/>
        <v>30.77272727</v>
      </c>
      <c r="AL61" s="80"/>
      <c r="AM61" s="81"/>
      <c r="AN61" s="68"/>
      <c r="AP61" s="82">
        <f t="shared" si="12"/>
        <v>23</v>
      </c>
    </row>
    <row r="62" ht="17.25" customHeight="1">
      <c r="A62" s="83">
        <v>45766.0</v>
      </c>
      <c r="B62" s="70">
        <f t="shared" si="11"/>
        <v>19</v>
      </c>
      <c r="C62" s="71">
        <v>59.0</v>
      </c>
      <c r="D62" s="66">
        <v>24.0</v>
      </c>
      <c r="E62" s="66">
        <v>345.0</v>
      </c>
      <c r="F62" s="66">
        <v>36.0</v>
      </c>
      <c r="G62" s="66">
        <v>10.0</v>
      </c>
      <c r="H62" s="66">
        <v>45.0</v>
      </c>
      <c r="I62" s="66">
        <v>52.0</v>
      </c>
      <c r="J62" s="66">
        <v>46.0</v>
      </c>
      <c r="K62" s="66">
        <v>26.0</v>
      </c>
      <c r="L62" s="66">
        <v>14.0</v>
      </c>
      <c r="M62" s="66"/>
      <c r="N62" s="66"/>
      <c r="O62" s="66"/>
      <c r="P62" s="66"/>
      <c r="Q62" s="67"/>
      <c r="R62" s="66">
        <v>8.0</v>
      </c>
      <c r="S62" s="66">
        <v>9.0</v>
      </c>
      <c r="T62" s="66">
        <v>16.0</v>
      </c>
      <c r="U62" s="66">
        <v>45.0</v>
      </c>
      <c r="V62" s="66">
        <v>22.0</v>
      </c>
      <c r="W62" s="66">
        <v>4.0</v>
      </c>
      <c r="X62" s="66">
        <v>86.0</v>
      </c>
      <c r="Y62" s="66">
        <v>29.0</v>
      </c>
      <c r="Z62" s="66">
        <v>47.0</v>
      </c>
      <c r="AA62" s="66"/>
      <c r="AB62" s="72"/>
      <c r="AC62" s="73">
        <v>21.0</v>
      </c>
      <c r="AD62" s="73"/>
      <c r="AE62" s="74">
        <v>35.0</v>
      </c>
      <c r="AF62" s="75">
        <v>24.0</v>
      </c>
      <c r="AG62" s="73">
        <v>16.0</v>
      </c>
      <c r="AH62" s="76"/>
      <c r="AI62" s="77">
        <f t="shared" si="7"/>
        <v>1019</v>
      </c>
      <c r="AJ62" s="78">
        <f t="shared" si="8"/>
        <v>48.57894737</v>
      </c>
      <c r="AK62" s="79">
        <f t="shared" si="9"/>
        <v>44.30434783</v>
      </c>
      <c r="AL62" s="80"/>
      <c r="AM62" s="81"/>
      <c r="AN62" s="68" t="s">
        <v>57</v>
      </c>
      <c r="AP62" s="82">
        <f t="shared" si="12"/>
        <v>56</v>
      </c>
    </row>
    <row r="63" ht="17.25" customHeight="1">
      <c r="A63" s="83">
        <v>45759.0</v>
      </c>
      <c r="B63" s="70">
        <f t="shared" si="11"/>
        <v>19</v>
      </c>
      <c r="C63" s="71">
        <v>58.0</v>
      </c>
      <c r="D63" s="66">
        <v>11.0</v>
      </c>
      <c r="E63" s="66">
        <v>95.0</v>
      </c>
      <c r="F63" s="66">
        <v>29.0</v>
      </c>
      <c r="G63" s="66">
        <v>18.0</v>
      </c>
      <c r="H63" s="66">
        <v>32.0</v>
      </c>
      <c r="I63" s="66">
        <v>45.0</v>
      </c>
      <c r="J63" s="66">
        <v>36.0</v>
      </c>
      <c r="K63" s="66">
        <v>80.0</v>
      </c>
      <c r="L63" s="66">
        <v>7.0</v>
      </c>
      <c r="M63" s="66"/>
      <c r="N63" s="66"/>
      <c r="O63" s="66"/>
      <c r="P63" s="66"/>
      <c r="Q63" s="67"/>
      <c r="R63" s="66">
        <v>9.0</v>
      </c>
      <c r="S63" s="66">
        <v>10.0</v>
      </c>
      <c r="T63" s="66">
        <v>21.0</v>
      </c>
      <c r="U63" s="66">
        <v>39.0</v>
      </c>
      <c r="V63" s="66">
        <v>15.0</v>
      </c>
      <c r="W63" s="66">
        <v>13.0</v>
      </c>
      <c r="X63" s="66">
        <v>93.0</v>
      </c>
      <c r="Y63" s="66">
        <v>19.0</v>
      </c>
      <c r="Z63" s="66">
        <v>39.0</v>
      </c>
      <c r="AA63" s="66"/>
      <c r="AB63" s="72"/>
      <c r="AC63" s="73"/>
      <c r="AD63" s="73"/>
      <c r="AE63" s="74">
        <v>17.0</v>
      </c>
      <c r="AF63" s="75">
        <v>25.0</v>
      </c>
      <c r="AG63" s="73">
        <v>12.0</v>
      </c>
      <c r="AH63" s="76"/>
      <c r="AI63" s="77">
        <f t="shared" si="7"/>
        <v>723</v>
      </c>
      <c r="AJ63" s="78">
        <f t="shared" si="8"/>
        <v>35.21052632</v>
      </c>
      <c r="AK63" s="79">
        <f t="shared" si="9"/>
        <v>32.86363636</v>
      </c>
      <c r="AL63" s="80"/>
      <c r="AM63" s="81"/>
      <c r="AN63" s="68"/>
      <c r="AP63" s="82">
        <f t="shared" si="12"/>
        <v>17</v>
      </c>
    </row>
    <row r="64" ht="17.25" customHeight="1">
      <c r="A64" s="83">
        <v>45752.0</v>
      </c>
      <c r="B64" s="70">
        <f t="shared" si="11"/>
        <v>18</v>
      </c>
      <c r="C64" s="71">
        <v>74.0</v>
      </c>
      <c r="D64" s="66">
        <v>11.0</v>
      </c>
      <c r="E64" s="66">
        <v>146.0</v>
      </c>
      <c r="F64" s="66">
        <v>32.0</v>
      </c>
      <c r="G64" s="66">
        <v>20.0</v>
      </c>
      <c r="H64" s="66">
        <v>44.0</v>
      </c>
      <c r="I64" s="66">
        <v>49.0</v>
      </c>
      <c r="J64" s="66">
        <v>29.0</v>
      </c>
      <c r="K64" s="84">
        <v>29.0</v>
      </c>
      <c r="L64" s="66"/>
      <c r="M64" s="66"/>
      <c r="N64" s="66"/>
      <c r="O64" s="66"/>
      <c r="P64" s="66"/>
      <c r="Q64" s="67"/>
      <c r="R64" s="66">
        <v>20.0</v>
      </c>
      <c r="S64" s="66">
        <v>8.0</v>
      </c>
      <c r="T64" s="66">
        <v>21.0</v>
      </c>
      <c r="U64" s="66">
        <v>48.0</v>
      </c>
      <c r="V64" s="66">
        <v>28.0</v>
      </c>
      <c r="W64" s="66">
        <v>9.0</v>
      </c>
      <c r="X64" s="66">
        <v>67.0</v>
      </c>
      <c r="Y64" s="66">
        <v>19.0</v>
      </c>
      <c r="Z64" s="66">
        <v>56.0</v>
      </c>
      <c r="AA64" s="66"/>
      <c r="AB64" s="72"/>
      <c r="AC64" s="73">
        <v>27.0</v>
      </c>
      <c r="AD64" s="73"/>
      <c r="AE64" s="74">
        <v>30.0</v>
      </c>
      <c r="AF64" s="75">
        <v>14.0</v>
      </c>
      <c r="AG64" s="73">
        <v>18.0</v>
      </c>
      <c r="AH64" s="76"/>
      <c r="AI64" s="77">
        <f t="shared" si="7"/>
        <v>799</v>
      </c>
      <c r="AJ64" s="78">
        <f t="shared" si="8"/>
        <v>39.44444444</v>
      </c>
      <c r="AK64" s="79">
        <f t="shared" si="9"/>
        <v>36.31818182</v>
      </c>
      <c r="AL64" s="80"/>
      <c r="AM64" s="81"/>
      <c r="AN64" s="68"/>
      <c r="AP64" s="82">
        <f t="shared" si="12"/>
        <v>57</v>
      </c>
    </row>
    <row r="65" ht="17.25" customHeight="1">
      <c r="A65" s="83">
        <v>45745.0</v>
      </c>
      <c r="B65" s="70">
        <f t="shared" si="11"/>
        <v>18</v>
      </c>
      <c r="C65" s="71">
        <v>62.0</v>
      </c>
      <c r="D65" s="66">
        <v>14.0</v>
      </c>
      <c r="E65" s="66">
        <v>201.0</v>
      </c>
      <c r="F65" s="66">
        <v>51.0</v>
      </c>
      <c r="G65" s="66">
        <v>19.0</v>
      </c>
      <c r="H65" s="66">
        <v>40.0</v>
      </c>
      <c r="I65" s="66">
        <v>58.0</v>
      </c>
      <c r="J65" s="66">
        <v>33.0</v>
      </c>
      <c r="K65" s="84">
        <v>31.0</v>
      </c>
      <c r="L65" s="66"/>
      <c r="M65" s="66"/>
      <c r="N65" s="66"/>
      <c r="O65" s="66"/>
      <c r="P65" s="66"/>
      <c r="Q65" s="67"/>
      <c r="R65" s="66">
        <v>23.0</v>
      </c>
      <c r="S65" s="66">
        <v>7.0</v>
      </c>
      <c r="T65" s="66">
        <v>31.0</v>
      </c>
      <c r="U65" s="66">
        <v>40.0</v>
      </c>
      <c r="V65" s="66">
        <v>28.0</v>
      </c>
      <c r="W65" s="66">
        <v>11.0</v>
      </c>
      <c r="X65" s="66">
        <v>66.0</v>
      </c>
      <c r="Y65" s="66">
        <v>16.0</v>
      </c>
      <c r="Z65" s="66">
        <v>49.0</v>
      </c>
      <c r="AA65" s="66"/>
      <c r="AB65" s="72"/>
      <c r="AC65" s="73">
        <v>29.0</v>
      </c>
      <c r="AD65" s="73"/>
      <c r="AE65" s="74">
        <v>35.0</v>
      </c>
      <c r="AF65" s="75">
        <v>28.0</v>
      </c>
      <c r="AG65" s="73">
        <v>12.0</v>
      </c>
      <c r="AH65" s="76"/>
      <c r="AI65" s="77">
        <f t="shared" si="7"/>
        <v>884</v>
      </c>
      <c r="AJ65" s="78">
        <f t="shared" si="8"/>
        <v>43.33333333</v>
      </c>
      <c r="AK65" s="79">
        <f t="shared" si="9"/>
        <v>40.18181818</v>
      </c>
      <c r="AL65" s="80"/>
      <c r="AM65" s="81"/>
      <c r="AN65" s="68"/>
      <c r="AP65" s="82">
        <f t="shared" si="12"/>
        <v>64</v>
      </c>
    </row>
    <row r="66" ht="17.25" customHeight="1">
      <c r="A66" s="83">
        <v>45738.0</v>
      </c>
      <c r="B66" s="70">
        <f t="shared" si="11"/>
        <v>17</v>
      </c>
      <c r="C66" s="71">
        <v>47.0</v>
      </c>
      <c r="D66" s="66">
        <v>19.0</v>
      </c>
      <c r="E66" s="66">
        <v>164.0</v>
      </c>
      <c r="F66" s="66">
        <v>56.0</v>
      </c>
      <c r="G66" s="66">
        <v>20.0</v>
      </c>
      <c r="H66" s="66">
        <v>30.0</v>
      </c>
      <c r="I66" s="66">
        <v>61.0</v>
      </c>
      <c r="J66" s="66">
        <v>24.0</v>
      </c>
      <c r="K66" s="84">
        <v>31.0</v>
      </c>
      <c r="L66" s="66"/>
      <c r="M66" s="66"/>
      <c r="N66" s="66"/>
      <c r="O66" s="66"/>
      <c r="P66" s="66"/>
      <c r="Q66" s="67"/>
      <c r="R66" s="66">
        <v>20.0</v>
      </c>
      <c r="S66" s="66"/>
      <c r="T66" s="66">
        <v>22.0</v>
      </c>
      <c r="U66" s="66">
        <v>44.0</v>
      </c>
      <c r="V66" s="66">
        <v>24.0</v>
      </c>
      <c r="W66" s="66">
        <v>8.0</v>
      </c>
      <c r="X66" s="66">
        <v>86.0</v>
      </c>
      <c r="Y66" s="66">
        <v>13.0</v>
      </c>
      <c r="Z66" s="66">
        <v>46.0</v>
      </c>
      <c r="AA66" s="66"/>
      <c r="AB66" s="72"/>
      <c r="AC66" s="73">
        <v>18.0</v>
      </c>
      <c r="AD66" s="73"/>
      <c r="AE66" s="74">
        <v>29.0</v>
      </c>
      <c r="AF66" s="75">
        <v>22.0</v>
      </c>
      <c r="AG66" s="73">
        <v>15.0</v>
      </c>
      <c r="AH66" s="76"/>
      <c r="AI66" s="77">
        <f t="shared" si="7"/>
        <v>799</v>
      </c>
      <c r="AJ66" s="78">
        <f t="shared" si="8"/>
        <v>42.05882353</v>
      </c>
      <c r="AK66" s="79">
        <f t="shared" si="9"/>
        <v>38.04761905</v>
      </c>
      <c r="AL66" s="80"/>
      <c r="AM66" s="81"/>
      <c r="AN66" s="68"/>
      <c r="AP66" s="82">
        <f t="shared" si="12"/>
        <v>47</v>
      </c>
    </row>
    <row r="67" ht="17.25" customHeight="1">
      <c r="A67" s="83">
        <v>45731.0</v>
      </c>
      <c r="B67" s="70">
        <f t="shared" si="11"/>
        <v>17</v>
      </c>
      <c r="C67" s="71">
        <v>46.0</v>
      </c>
      <c r="D67" s="66">
        <v>18.0</v>
      </c>
      <c r="E67" s="66">
        <v>154.0</v>
      </c>
      <c r="F67" s="66">
        <v>42.0</v>
      </c>
      <c r="G67" s="66">
        <v>24.0</v>
      </c>
      <c r="H67" s="66">
        <v>82.0</v>
      </c>
      <c r="I67" s="66">
        <v>45.0</v>
      </c>
      <c r="J67" s="66">
        <v>27.0</v>
      </c>
      <c r="K67" s="84">
        <v>26.0</v>
      </c>
      <c r="L67" s="66"/>
      <c r="M67" s="66"/>
      <c r="N67" s="66"/>
      <c r="O67" s="66"/>
      <c r="P67" s="66"/>
      <c r="Q67" s="67"/>
      <c r="R67" s="66">
        <v>13.0</v>
      </c>
      <c r="S67" s="66"/>
      <c r="T67" s="66">
        <v>82.0</v>
      </c>
      <c r="U67" s="66">
        <v>40.0</v>
      </c>
      <c r="V67" s="66">
        <v>25.0</v>
      </c>
      <c r="W67" s="66">
        <v>10.0</v>
      </c>
      <c r="X67" s="66">
        <v>48.0</v>
      </c>
      <c r="Y67" s="66">
        <v>10.0</v>
      </c>
      <c r="Z67" s="66">
        <v>46.0</v>
      </c>
      <c r="AA67" s="66"/>
      <c r="AB67" s="72"/>
      <c r="AC67" s="73">
        <v>12.0</v>
      </c>
      <c r="AD67" s="73"/>
      <c r="AE67" s="74">
        <v>28.0</v>
      </c>
      <c r="AF67" s="75">
        <v>27.0</v>
      </c>
      <c r="AG67" s="73">
        <v>19.0</v>
      </c>
      <c r="AH67" s="76"/>
      <c r="AI67" s="77">
        <f t="shared" si="7"/>
        <v>824</v>
      </c>
      <c r="AJ67" s="78">
        <f t="shared" si="8"/>
        <v>43.41176471</v>
      </c>
      <c r="AK67" s="79">
        <f t="shared" si="9"/>
        <v>39.23809524</v>
      </c>
      <c r="AL67" s="80"/>
      <c r="AM67" s="81"/>
      <c r="AN67" s="68"/>
      <c r="AP67" s="82">
        <f t="shared" si="12"/>
        <v>40</v>
      </c>
    </row>
    <row r="68" ht="17.25" customHeight="1">
      <c r="A68" s="83">
        <v>45724.0</v>
      </c>
      <c r="B68" s="70">
        <f t="shared" si="11"/>
        <v>16</v>
      </c>
      <c r="C68" s="71">
        <v>60.0</v>
      </c>
      <c r="D68" s="66">
        <v>17.0</v>
      </c>
      <c r="E68" s="66">
        <v>217.0</v>
      </c>
      <c r="F68" s="66">
        <v>40.0</v>
      </c>
      <c r="G68" s="66">
        <v>69.0</v>
      </c>
      <c r="H68" s="66">
        <v>47.0</v>
      </c>
      <c r="I68" s="66">
        <v>53.0</v>
      </c>
      <c r="J68" s="66">
        <v>28.0</v>
      </c>
      <c r="K68" s="84">
        <v>27.0</v>
      </c>
      <c r="L68" s="66"/>
      <c r="M68" s="66"/>
      <c r="N68" s="66"/>
      <c r="O68" s="66"/>
      <c r="P68" s="66"/>
      <c r="Q68" s="67"/>
      <c r="R68" s="66">
        <v>15.0</v>
      </c>
      <c r="S68" s="66"/>
      <c r="T68" s="66"/>
      <c r="U68" s="66">
        <v>64.0</v>
      </c>
      <c r="V68" s="66">
        <v>32.0</v>
      </c>
      <c r="W68" s="66">
        <v>11.0</v>
      </c>
      <c r="X68" s="66">
        <v>90.0</v>
      </c>
      <c r="Y68" s="66">
        <v>18.0</v>
      </c>
      <c r="Z68" s="66">
        <v>41.0</v>
      </c>
      <c r="AA68" s="66"/>
      <c r="AB68" s="72"/>
      <c r="AC68" s="73">
        <v>22.0</v>
      </c>
      <c r="AD68" s="73"/>
      <c r="AE68" s="74">
        <v>35.0</v>
      </c>
      <c r="AF68" s="75">
        <v>23.0</v>
      </c>
      <c r="AG68" s="73">
        <v>16.0</v>
      </c>
      <c r="AH68" s="76"/>
      <c r="AI68" s="77">
        <f t="shared" si="7"/>
        <v>925</v>
      </c>
      <c r="AJ68" s="78">
        <f t="shared" si="8"/>
        <v>51.8125</v>
      </c>
      <c r="AK68" s="79">
        <f t="shared" si="9"/>
        <v>46.25</v>
      </c>
      <c r="AL68" s="80"/>
      <c r="AM68" s="81"/>
      <c r="AN68" s="68"/>
      <c r="AP68" s="82">
        <f t="shared" si="12"/>
        <v>57</v>
      </c>
    </row>
    <row r="69" ht="17.25" customHeight="1">
      <c r="A69" s="83">
        <v>45717.0</v>
      </c>
      <c r="B69" s="70">
        <f t="shared" si="11"/>
        <v>16</v>
      </c>
      <c r="C69" s="71">
        <v>38.0</v>
      </c>
      <c r="D69" s="66">
        <v>16.0</v>
      </c>
      <c r="E69" s="66">
        <v>157.0</v>
      </c>
      <c r="F69" s="66">
        <v>80.0</v>
      </c>
      <c r="G69" s="66">
        <v>19.0</v>
      </c>
      <c r="H69" s="66">
        <v>24.0</v>
      </c>
      <c r="I69" s="66">
        <v>40.0</v>
      </c>
      <c r="J69" s="66">
        <v>16.0</v>
      </c>
      <c r="K69" s="84">
        <v>22.0</v>
      </c>
      <c r="L69" s="66"/>
      <c r="M69" s="66"/>
      <c r="N69" s="66"/>
      <c r="O69" s="66"/>
      <c r="P69" s="66"/>
      <c r="Q69" s="67"/>
      <c r="R69" s="66">
        <v>13.0</v>
      </c>
      <c r="S69" s="66"/>
      <c r="T69" s="66"/>
      <c r="U69" s="66">
        <v>53.0</v>
      </c>
      <c r="V69" s="66">
        <v>23.0</v>
      </c>
      <c r="W69" s="66">
        <v>7.0</v>
      </c>
      <c r="X69" s="66">
        <v>60.0</v>
      </c>
      <c r="Y69" s="66">
        <v>10.0</v>
      </c>
      <c r="Z69" s="66">
        <v>25.0</v>
      </c>
      <c r="AA69" s="66"/>
      <c r="AB69" s="72"/>
      <c r="AC69" s="73">
        <v>23.0</v>
      </c>
      <c r="AD69" s="73"/>
      <c r="AE69" s="74">
        <v>20.0</v>
      </c>
      <c r="AF69" s="75">
        <v>27.0</v>
      </c>
      <c r="AG69" s="73">
        <v>16.0</v>
      </c>
      <c r="AH69" s="76"/>
      <c r="AI69" s="77">
        <f t="shared" si="7"/>
        <v>689</v>
      </c>
      <c r="AJ69" s="78">
        <f t="shared" si="8"/>
        <v>37.6875</v>
      </c>
      <c r="AK69" s="79">
        <f t="shared" si="9"/>
        <v>34.45</v>
      </c>
      <c r="AL69" s="80"/>
      <c r="AM69" s="81"/>
      <c r="AN69" s="68"/>
      <c r="AP69" s="82">
        <f t="shared" si="12"/>
        <v>43</v>
      </c>
    </row>
    <row r="70" ht="17.25" customHeight="1">
      <c r="A70" s="83">
        <v>45710.0</v>
      </c>
      <c r="B70" s="70">
        <f t="shared" si="11"/>
        <v>16</v>
      </c>
      <c r="C70" s="71">
        <v>39.0</v>
      </c>
      <c r="D70" s="66">
        <v>12.0</v>
      </c>
      <c r="E70" s="66">
        <v>152.0</v>
      </c>
      <c r="F70" s="66">
        <v>22.0</v>
      </c>
      <c r="G70" s="66">
        <v>14.0</v>
      </c>
      <c r="H70" s="66">
        <v>30.0</v>
      </c>
      <c r="I70" s="66">
        <v>30.0</v>
      </c>
      <c r="J70" s="66">
        <v>20.0</v>
      </c>
      <c r="K70" s="84">
        <v>25.0</v>
      </c>
      <c r="L70" s="66"/>
      <c r="M70" s="66"/>
      <c r="N70" s="66"/>
      <c r="O70" s="66"/>
      <c r="P70" s="66"/>
      <c r="Q70" s="67"/>
      <c r="R70" s="66">
        <v>6.0</v>
      </c>
      <c r="S70" s="66"/>
      <c r="T70" s="66"/>
      <c r="U70" s="66">
        <v>49.0</v>
      </c>
      <c r="V70" s="66">
        <v>18.0</v>
      </c>
      <c r="W70" s="66">
        <v>17.0</v>
      </c>
      <c r="X70" s="66">
        <v>71.0</v>
      </c>
      <c r="Y70" s="66">
        <v>16.0</v>
      </c>
      <c r="Z70" s="66">
        <v>27.0</v>
      </c>
      <c r="AA70" s="66"/>
      <c r="AB70" s="72"/>
      <c r="AC70" s="73">
        <v>14.0</v>
      </c>
      <c r="AD70" s="73"/>
      <c r="AE70" s="74">
        <v>22.0</v>
      </c>
      <c r="AF70" s="75">
        <v>16.0</v>
      </c>
      <c r="AG70" s="73">
        <v>21.0</v>
      </c>
      <c r="AH70" s="76"/>
      <c r="AI70" s="77">
        <f t="shared" si="7"/>
        <v>621</v>
      </c>
      <c r="AJ70" s="78">
        <f t="shared" si="8"/>
        <v>34.25</v>
      </c>
      <c r="AK70" s="79">
        <f t="shared" si="9"/>
        <v>31.05</v>
      </c>
      <c r="AL70" s="80"/>
      <c r="AM70" s="81"/>
      <c r="AN70" s="68"/>
      <c r="AP70" s="82">
        <f t="shared" si="12"/>
        <v>36</v>
      </c>
    </row>
    <row r="71" ht="17.25" customHeight="1">
      <c r="A71" s="83">
        <v>45703.0</v>
      </c>
      <c r="B71" s="70">
        <f t="shared" si="11"/>
        <v>16</v>
      </c>
      <c r="C71" s="71">
        <v>47.0</v>
      </c>
      <c r="D71" s="66">
        <v>9.0</v>
      </c>
      <c r="E71" s="66">
        <v>128.0</v>
      </c>
      <c r="F71" s="66">
        <v>25.0</v>
      </c>
      <c r="G71" s="66">
        <v>15.0</v>
      </c>
      <c r="H71" s="66">
        <v>28.0</v>
      </c>
      <c r="I71" s="66">
        <v>41.0</v>
      </c>
      <c r="J71" s="66">
        <v>23.0</v>
      </c>
      <c r="K71" s="84">
        <v>23.0</v>
      </c>
      <c r="L71" s="66"/>
      <c r="M71" s="66"/>
      <c r="N71" s="66"/>
      <c r="O71" s="66"/>
      <c r="P71" s="66"/>
      <c r="Q71" s="67"/>
      <c r="R71" s="66">
        <v>15.0</v>
      </c>
      <c r="S71" s="66"/>
      <c r="T71" s="66"/>
      <c r="U71" s="66">
        <v>36.0</v>
      </c>
      <c r="V71" s="66">
        <v>16.0</v>
      </c>
      <c r="W71" s="66">
        <v>9.0</v>
      </c>
      <c r="X71" s="66">
        <v>190.0</v>
      </c>
      <c r="Y71" s="66">
        <v>17.0</v>
      </c>
      <c r="Z71" s="66">
        <v>20.0</v>
      </c>
      <c r="AA71" s="66"/>
      <c r="AB71" s="72"/>
      <c r="AC71" s="73">
        <v>12.0</v>
      </c>
      <c r="AD71" s="73"/>
      <c r="AE71" s="74">
        <v>28.0</v>
      </c>
      <c r="AF71" s="75">
        <v>14.0</v>
      </c>
      <c r="AG71" s="73">
        <v>15.0</v>
      </c>
      <c r="AH71" s="76"/>
      <c r="AI71" s="77">
        <f t="shared" si="7"/>
        <v>711</v>
      </c>
      <c r="AJ71" s="78">
        <f t="shared" si="8"/>
        <v>40.125</v>
      </c>
      <c r="AK71" s="79">
        <f t="shared" si="9"/>
        <v>35.55</v>
      </c>
      <c r="AL71" s="80"/>
      <c r="AM71" s="81"/>
      <c r="AN71" s="68"/>
      <c r="AP71" s="82">
        <f t="shared" si="12"/>
        <v>40</v>
      </c>
    </row>
    <row r="72" ht="17.25" customHeight="1">
      <c r="A72" s="83">
        <v>45696.0</v>
      </c>
      <c r="B72" s="70">
        <f t="shared" si="11"/>
        <v>16</v>
      </c>
      <c r="C72" s="71">
        <v>51.0</v>
      </c>
      <c r="D72" s="66">
        <v>9.0</v>
      </c>
      <c r="E72" s="66">
        <v>845.0</v>
      </c>
      <c r="F72" s="66">
        <v>19.0</v>
      </c>
      <c r="G72" s="66">
        <v>15.0</v>
      </c>
      <c r="H72" s="66">
        <v>29.0</v>
      </c>
      <c r="I72" s="66">
        <v>47.0</v>
      </c>
      <c r="J72" s="66">
        <v>18.0</v>
      </c>
      <c r="K72" s="84">
        <v>19.0</v>
      </c>
      <c r="L72" s="66"/>
      <c r="M72" s="66"/>
      <c r="N72" s="66"/>
      <c r="O72" s="66"/>
      <c r="P72" s="66"/>
      <c r="Q72" s="67"/>
      <c r="R72" s="66">
        <v>13.0</v>
      </c>
      <c r="S72" s="66"/>
      <c r="T72" s="66"/>
      <c r="U72" s="66">
        <v>56.0</v>
      </c>
      <c r="V72" s="66">
        <v>20.0</v>
      </c>
      <c r="W72" s="66">
        <v>10.0</v>
      </c>
      <c r="X72" s="66">
        <v>48.0</v>
      </c>
      <c r="Y72" s="66">
        <v>18.0</v>
      </c>
      <c r="Z72" s="66">
        <v>22.0</v>
      </c>
      <c r="AA72" s="66"/>
      <c r="AB72" s="72"/>
      <c r="AC72" s="73">
        <v>15.0</v>
      </c>
      <c r="AD72" s="73"/>
      <c r="AE72" s="74">
        <v>22.0</v>
      </c>
      <c r="AF72" s="75">
        <v>22.0</v>
      </c>
      <c r="AG72" s="73">
        <v>17.0</v>
      </c>
      <c r="AH72" s="76"/>
      <c r="AI72" s="77">
        <f t="shared" si="7"/>
        <v>1315</v>
      </c>
      <c r="AJ72" s="78">
        <f t="shared" si="8"/>
        <v>77.4375</v>
      </c>
      <c r="AK72" s="79">
        <f t="shared" si="9"/>
        <v>65.75</v>
      </c>
      <c r="AL72" s="80"/>
      <c r="AM72" s="81"/>
      <c r="AN72" s="68" t="s">
        <v>58</v>
      </c>
      <c r="AP72" s="82">
        <f t="shared" si="12"/>
        <v>37</v>
      </c>
    </row>
    <row r="73" ht="17.25" customHeight="1">
      <c r="A73" s="83">
        <v>45689.0</v>
      </c>
      <c r="B73" s="70">
        <f t="shared" si="11"/>
        <v>16</v>
      </c>
      <c r="C73" s="71">
        <v>63.0</v>
      </c>
      <c r="D73" s="66">
        <v>12.0</v>
      </c>
      <c r="E73" s="66">
        <v>155.0</v>
      </c>
      <c r="F73" s="66">
        <v>31.0</v>
      </c>
      <c r="G73" s="66">
        <v>11.0</v>
      </c>
      <c r="H73" s="66">
        <v>42.0</v>
      </c>
      <c r="I73" s="66">
        <v>45.0</v>
      </c>
      <c r="J73" s="66">
        <v>13.0</v>
      </c>
      <c r="K73" s="84">
        <v>34.0</v>
      </c>
      <c r="L73" s="66"/>
      <c r="M73" s="66"/>
      <c r="N73" s="66"/>
      <c r="O73" s="66"/>
      <c r="P73" s="66"/>
      <c r="Q73" s="67"/>
      <c r="R73" s="66">
        <v>15.0</v>
      </c>
      <c r="S73" s="66"/>
      <c r="T73" s="66"/>
      <c r="U73" s="66">
        <v>49.0</v>
      </c>
      <c r="V73" s="66">
        <v>23.0</v>
      </c>
      <c r="W73" s="66">
        <v>11.0</v>
      </c>
      <c r="X73" s="66">
        <v>84.0</v>
      </c>
      <c r="Y73" s="66">
        <v>21.0</v>
      </c>
      <c r="Z73" s="66">
        <v>21.0</v>
      </c>
      <c r="AA73" s="66"/>
      <c r="AB73" s="72"/>
      <c r="AC73" s="73">
        <v>28.0</v>
      </c>
      <c r="AD73" s="73"/>
      <c r="AE73" s="74">
        <v>38.0</v>
      </c>
      <c r="AF73" s="75">
        <v>25.0</v>
      </c>
      <c r="AG73" s="73">
        <v>16.0</v>
      </c>
      <c r="AH73" s="76"/>
      <c r="AI73" s="77">
        <f t="shared" si="7"/>
        <v>737</v>
      </c>
      <c r="AJ73" s="78">
        <f t="shared" si="8"/>
        <v>39.375</v>
      </c>
      <c r="AK73" s="79">
        <f t="shared" si="9"/>
        <v>36.85</v>
      </c>
      <c r="AL73" s="80"/>
      <c r="AM73" s="81"/>
      <c r="AP73" s="82">
        <f t="shared" si="12"/>
        <v>66</v>
      </c>
    </row>
    <row r="74" ht="17.25" customHeight="1">
      <c r="A74" s="83">
        <v>45682.0</v>
      </c>
      <c r="B74" s="70">
        <f t="shared" si="11"/>
        <v>16</v>
      </c>
      <c r="C74" s="71">
        <v>39.0</v>
      </c>
      <c r="D74" s="66">
        <v>10.0</v>
      </c>
      <c r="E74" s="66">
        <v>141.0</v>
      </c>
      <c r="F74" s="66">
        <v>20.0</v>
      </c>
      <c r="G74" s="66">
        <v>24.0</v>
      </c>
      <c r="H74" s="66">
        <v>32.0</v>
      </c>
      <c r="I74" s="66">
        <v>37.0</v>
      </c>
      <c r="J74" s="66">
        <v>11.0</v>
      </c>
      <c r="K74" s="84">
        <v>30.0</v>
      </c>
      <c r="L74" s="66"/>
      <c r="M74" s="66"/>
      <c r="N74" s="66"/>
      <c r="O74" s="66"/>
      <c r="P74" s="66"/>
      <c r="Q74" s="67"/>
      <c r="R74" s="66">
        <v>13.0</v>
      </c>
      <c r="S74" s="66"/>
      <c r="T74" s="66"/>
      <c r="U74" s="66">
        <v>30.0</v>
      </c>
      <c r="V74" s="66">
        <v>22.0</v>
      </c>
      <c r="W74" s="66">
        <v>4.0</v>
      </c>
      <c r="X74" s="66">
        <v>79.0</v>
      </c>
      <c r="Y74" s="66">
        <v>33.0</v>
      </c>
      <c r="Z74" s="66">
        <v>14.0</v>
      </c>
      <c r="AA74" s="66"/>
      <c r="AB74" s="72"/>
      <c r="AC74" s="73">
        <v>21.0</v>
      </c>
      <c r="AD74" s="73"/>
      <c r="AE74" s="74">
        <v>30.0</v>
      </c>
      <c r="AF74" s="75">
        <v>20.0</v>
      </c>
      <c r="AG74" s="73">
        <v>15.0</v>
      </c>
      <c r="AH74" s="76"/>
      <c r="AI74" s="77">
        <f t="shared" si="7"/>
        <v>625</v>
      </c>
      <c r="AJ74" s="78">
        <f t="shared" si="8"/>
        <v>33.6875</v>
      </c>
      <c r="AK74" s="79">
        <f t="shared" si="9"/>
        <v>31.25</v>
      </c>
      <c r="AL74" s="80"/>
      <c r="AM74" s="81"/>
      <c r="AP74" s="82">
        <f t="shared" si="12"/>
        <v>51</v>
      </c>
    </row>
    <row r="75" ht="17.25" customHeight="1">
      <c r="A75" s="83">
        <v>45675.0</v>
      </c>
      <c r="B75" s="70">
        <f t="shared" si="11"/>
        <v>17</v>
      </c>
      <c r="C75" s="71">
        <v>33.0</v>
      </c>
      <c r="D75" s="66">
        <v>13.0</v>
      </c>
      <c r="E75" s="66">
        <v>111.0</v>
      </c>
      <c r="F75" s="66">
        <v>19.0</v>
      </c>
      <c r="G75" s="66">
        <v>11.0</v>
      </c>
      <c r="H75" s="66">
        <v>41.0</v>
      </c>
      <c r="I75" s="66">
        <v>35.0</v>
      </c>
      <c r="J75" s="66">
        <v>18.0</v>
      </c>
      <c r="K75" s="84">
        <v>31.0</v>
      </c>
      <c r="L75" s="66"/>
      <c r="M75" s="66"/>
      <c r="N75" s="66"/>
      <c r="O75" s="66"/>
      <c r="P75" s="66"/>
      <c r="Q75" s="67"/>
      <c r="R75" s="66">
        <v>14.0</v>
      </c>
      <c r="S75" s="66">
        <v>8.0</v>
      </c>
      <c r="T75" s="66"/>
      <c r="U75" s="66">
        <v>33.0</v>
      </c>
      <c r="V75" s="66">
        <v>20.0</v>
      </c>
      <c r="W75" s="66">
        <v>10.0</v>
      </c>
      <c r="X75" s="66">
        <v>69.0</v>
      </c>
      <c r="Y75" s="66">
        <v>18.0</v>
      </c>
      <c r="Z75" s="66">
        <v>36.0</v>
      </c>
      <c r="AA75" s="66"/>
      <c r="AB75" s="72"/>
      <c r="AC75" s="73">
        <v>17.0</v>
      </c>
      <c r="AD75" s="73"/>
      <c r="AE75" s="74">
        <v>23.0</v>
      </c>
      <c r="AF75" s="75">
        <v>20.0</v>
      </c>
      <c r="AG75" s="73">
        <v>14.0</v>
      </c>
      <c r="AH75" s="76"/>
      <c r="AI75" s="77">
        <f t="shared" si="7"/>
        <v>594</v>
      </c>
      <c r="AJ75" s="78">
        <f t="shared" si="8"/>
        <v>30.58823529</v>
      </c>
      <c r="AK75" s="79">
        <f t="shared" si="9"/>
        <v>28.28571429</v>
      </c>
      <c r="AL75" s="80"/>
      <c r="AM75" s="81"/>
      <c r="AP75" s="82">
        <f t="shared" si="12"/>
        <v>40</v>
      </c>
    </row>
    <row r="76" ht="17.25" customHeight="1">
      <c r="A76" s="83">
        <v>45668.0</v>
      </c>
      <c r="B76" s="70">
        <f t="shared" si="11"/>
        <v>16</v>
      </c>
      <c r="C76" s="71">
        <v>43.0</v>
      </c>
      <c r="D76" s="66">
        <v>14.0</v>
      </c>
      <c r="E76" s="66">
        <v>146.0</v>
      </c>
      <c r="F76" s="66">
        <v>47.0</v>
      </c>
      <c r="G76" s="66">
        <v>13.0</v>
      </c>
      <c r="H76" s="66">
        <v>37.0</v>
      </c>
      <c r="I76" s="66">
        <v>47.0</v>
      </c>
      <c r="J76" s="66">
        <v>17.0</v>
      </c>
      <c r="K76" s="84">
        <v>20.0</v>
      </c>
      <c r="L76" s="66"/>
      <c r="M76" s="66"/>
      <c r="N76" s="66"/>
      <c r="O76" s="66"/>
      <c r="P76" s="66"/>
      <c r="Q76" s="67"/>
      <c r="R76" s="66">
        <v>16.0</v>
      </c>
      <c r="S76" s="66">
        <v>7.0</v>
      </c>
      <c r="T76" s="66"/>
      <c r="U76" s="66">
        <v>27.0</v>
      </c>
      <c r="V76" s="66">
        <v>24.0</v>
      </c>
      <c r="W76" s="66">
        <v>9.0</v>
      </c>
      <c r="X76" s="66">
        <v>34.0</v>
      </c>
      <c r="Y76" s="66">
        <v>16.0</v>
      </c>
      <c r="Z76" s="66"/>
      <c r="AA76" s="66"/>
      <c r="AB76" s="72"/>
      <c r="AC76" s="73">
        <v>11.0</v>
      </c>
      <c r="AD76" s="73"/>
      <c r="AE76" s="74">
        <v>20.0</v>
      </c>
      <c r="AF76" s="75">
        <v>12.0</v>
      </c>
      <c r="AG76" s="73">
        <v>15.0</v>
      </c>
      <c r="AH76" s="76"/>
      <c r="AI76" s="77">
        <f t="shared" si="7"/>
        <v>575</v>
      </c>
      <c r="AJ76" s="78">
        <f t="shared" si="8"/>
        <v>32.3125</v>
      </c>
      <c r="AK76" s="79">
        <f t="shared" si="9"/>
        <v>28.75</v>
      </c>
      <c r="AL76" s="80"/>
      <c r="AM76" s="81"/>
      <c r="AP76" s="82">
        <f t="shared" si="12"/>
        <v>31</v>
      </c>
    </row>
    <row r="77" ht="17.25" customHeight="1">
      <c r="A77" s="83">
        <v>45661.0</v>
      </c>
      <c r="B77" s="70">
        <f t="shared" si="11"/>
        <v>15</v>
      </c>
      <c r="C77" s="71">
        <v>20.0</v>
      </c>
      <c r="D77" s="66">
        <v>14.0</v>
      </c>
      <c r="E77" s="66">
        <v>95.0</v>
      </c>
      <c r="F77" s="66">
        <v>25.0</v>
      </c>
      <c r="G77" s="66">
        <v>7.0</v>
      </c>
      <c r="H77" s="66">
        <v>23.0</v>
      </c>
      <c r="I77" s="66">
        <v>29.0</v>
      </c>
      <c r="J77" s="66">
        <v>14.0</v>
      </c>
      <c r="K77" s="84">
        <v>18.0</v>
      </c>
      <c r="L77" s="66"/>
      <c r="M77" s="66"/>
      <c r="N77" s="66"/>
      <c r="O77" s="66"/>
      <c r="P77" s="66"/>
      <c r="Q77" s="67"/>
      <c r="R77" s="66">
        <v>13.0</v>
      </c>
      <c r="S77" s="66"/>
      <c r="T77" s="66"/>
      <c r="U77" s="66">
        <v>39.0</v>
      </c>
      <c r="V77" s="66">
        <v>22.0</v>
      </c>
      <c r="W77" s="66"/>
      <c r="X77" s="66">
        <v>50.0</v>
      </c>
      <c r="Y77" s="66">
        <v>17.0</v>
      </c>
      <c r="Z77" s="66">
        <v>8.0</v>
      </c>
      <c r="AA77" s="66"/>
      <c r="AB77" s="72"/>
      <c r="AC77" s="73">
        <v>20.0</v>
      </c>
      <c r="AD77" s="73"/>
      <c r="AE77" s="74">
        <v>27.0</v>
      </c>
      <c r="AF77" s="75">
        <v>12.0</v>
      </c>
      <c r="AG77" s="73">
        <v>13.0</v>
      </c>
      <c r="AH77" s="76"/>
      <c r="AI77" s="77">
        <f t="shared" si="7"/>
        <v>466</v>
      </c>
      <c r="AJ77" s="78">
        <f t="shared" si="8"/>
        <v>26.26666667</v>
      </c>
      <c r="AK77" s="79">
        <f t="shared" si="9"/>
        <v>24.52631579</v>
      </c>
      <c r="AL77" s="80"/>
      <c r="AM77" s="81"/>
      <c r="AP77" s="82">
        <f t="shared" si="12"/>
        <v>47</v>
      </c>
    </row>
    <row r="78" ht="17.25" customHeight="1">
      <c r="A78" s="83">
        <v>45658.0</v>
      </c>
      <c r="B78" s="70">
        <f t="shared" si="11"/>
        <v>10</v>
      </c>
      <c r="C78" s="71">
        <v>27.0</v>
      </c>
      <c r="D78" s="66"/>
      <c r="E78" s="66">
        <v>131.0</v>
      </c>
      <c r="F78" s="66">
        <v>65.0</v>
      </c>
      <c r="G78" s="66">
        <v>20.0</v>
      </c>
      <c r="H78" s="66">
        <v>32.0</v>
      </c>
      <c r="I78" s="66">
        <v>27.0</v>
      </c>
      <c r="J78" s="66"/>
      <c r="K78" s="84">
        <v>27.0</v>
      </c>
      <c r="L78" s="66"/>
      <c r="M78" s="66"/>
      <c r="N78" s="66"/>
      <c r="O78" s="66"/>
      <c r="P78" s="66"/>
      <c r="Q78" s="67"/>
      <c r="R78" s="66"/>
      <c r="S78" s="66">
        <v>10.0</v>
      </c>
      <c r="T78" s="66"/>
      <c r="U78" s="66"/>
      <c r="V78" s="66">
        <v>37.0</v>
      </c>
      <c r="W78" s="66"/>
      <c r="X78" s="66"/>
      <c r="Y78" s="66">
        <v>23.0</v>
      </c>
      <c r="Z78" s="66"/>
      <c r="AA78" s="66"/>
      <c r="AB78" s="72"/>
      <c r="AC78" s="73">
        <v>16.0</v>
      </c>
      <c r="AD78" s="73"/>
      <c r="AE78" s="74">
        <v>142.0</v>
      </c>
      <c r="AF78" s="75">
        <v>20.0</v>
      </c>
      <c r="AG78" s="73"/>
      <c r="AH78" s="85"/>
      <c r="AI78" s="77">
        <f t="shared" si="7"/>
        <v>577</v>
      </c>
      <c r="AJ78" s="78">
        <f t="shared" si="8"/>
        <v>39.9</v>
      </c>
      <c r="AK78" s="79">
        <f t="shared" si="9"/>
        <v>44.38461538</v>
      </c>
      <c r="AL78" s="80"/>
      <c r="AM78" s="81"/>
      <c r="AN78" s="68" t="s">
        <v>59</v>
      </c>
      <c r="AP78" s="82">
        <f t="shared" si="12"/>
        <v>158</v>
      </c>
    </row>
    <row r="79" ht="17.25" customHeight="1">
      <c r="A79" s="83">
        <v>45654.0</v>
      </c>
      <c r="B79" s="70">
        <f t="shared" si="11"/>
        <v>11</v>
      </c>
      <c r="C79" s="71">
        <v>29.0</v>
      </c>
      <c r="D79" s="66"/>
      <c r="E79" s="66">
        <v>79.0</v>
      </c>
      <c r="F79" s="66">
        <v>17.0</v>
      </c>
      <c r="G79" s="66">
        <v>3.0</v>
      </c>
      <c r="H79" s="66">
        <v>26.0</v>
      </c>
      <c r="I79" s="66">
        <v>22.0</v>
      </c>
      <c r="J79" s="66">
        <v>18.0</v>
      </c>
      <c r="K79" s="84">
        <v>21.0</v>
      </c>
      <c r="L79" s="66"/>
      <c r="M79" s="66"/>
      <c r="N79" s="66"/>
      <c r="O79" s="66"/>
      <c r="P79" s="66"/>
      <c r="Q79" s="67"/>
      <c r="R79" s="66">
        <v>7.0</v>
      </c>
      <c r="S79" s="66"/>
      <c r="T79" s="66"/>
      <c r="U79" s="66"/>
      <c r="V79" s="66"/>
      <c r="W79" s="66">
        <v>12.0</v>
      </c>
      <c r="X79" s="66"/>
      <c r="Y79" s="66">
        <v>15.0</v>
      </c>
      <c r="Z79" s="66"/>
      <c r="AA79" s="66"/>
      <c r="AB79" s="72"/>
      <c r="AC79" s="73">
        <v>16.0</v>
      </c>
      <c r="AD79" s="73"/>
      <c r="AE79" s="74">
        <v>29.0</v>
      </c>
      <c r="AF79" s="75">
        <v>14.0</v>
      </c>
      <c r="AG79" s="73">
        <v>11.0</v>
      </c>
      <c r="AH79" s="85"/>
      <c r="AI79" s="77">
        <f t="shared" si="7"/>
        <v>319</v>
      </c>
      <c r="AJ79" s="78">
        <f t="shared" si="8"/>
        <v>22.63636364</v>
      </c>
      <c r="AK79" s="79">
        <f t="shared" si="9"/>
        <v>21.26666667</v>
      </c>
      <c r="AL79" s="80"/>
      <c r="AM79" s="81"/>
      <c r="AN79" s="68" t="s">
        <v>60</v>
      </c>
      <c r="AP79" s="82">
        <f t="shared" si="12"/>
        <v>45</v>
      </c>
    </row>
    <row r="80" ht="17.25" customHeight="1">
      <c r="A80" s="83">
        <v>45647.0</v>
      </c>
      <c r="B80" s="70">
        <f t="shared" si="11"/>
        <v>16</v>
      </c>
      <c r="C80" s="71">
        <v>23.0</v>
      </c>
      <c r="D80" s="66">
        <v>16.0</v>
      </c>
      <c r="E80" s="66">
        <v>108.0</v>
      </c>
      <c r="F80" s="66">
        <v>22.0</v>
      </c>
      <c r="G80" s="66">
        <v>10.0</v>
      </c>
      <c r="H80" s="66">
        <v>36.0</v>
      </c>
      <c r="I80" s="66">
        <v>28.0</v>
      </c>
      <c r="J80" s="66">
        <v>24.0</v>
      </c>
      <c r="K80" s="84">
        <v>22.0</v>
      </c>
      <c r="L80" s="66"/>
      <c r="M80" s="66"/>
      <c r="N80" s="66"/>
      <c r="O80" s="66"/>
      <c r="P80" s="66"/>
      <c r="Q80" s="67"/>
      <c r="R80" s="66">
        <v>7.0</v>
      </c>
      <c r="S80" s="66"/>
      <c r="T80" s="66"/>
      <c r="U80" s="66">
        <v>18.0</v>
      </c>
      <c r="V80" s="66">
        <v>12.0</v>
      </c>
      <c r="W80" s="66">
        <v>7.0</v>
      </c>
      <c r="X80" s="66">
        <v>47.0</v>
      </c>
      <c r="Y80" s="66">
        <v>13.0</v>
      </c>
      <c r="Z80" s="66">
        <v>17.0</v>
      </c>
      <c r="AA80" s="66"/>
      <c r="AB80" s="72"/>
      <c r="AC80" s="73">
        <v>17.0</v>
      </c>
      <c r="AD80" s="73"/>
      <c r="AE80" s="74">
        <v>26.0</v>
      </c>
      <c r="AF80" s="75">
        <v>7.0</v>
      </c>
      <c r="AG80" s="73">
        <v>14.0</v>
      </c>
      <c r="AH80" s="85"/>
      <c r="AI80" s="77">
        <f t="shared" si="7"/>
        <v>474</v>
      </c>
      <c r="AJ80" s="78">
        <f t="shared" si="8"/>
        <v>25.625</v>
      </c>
      <c r="AK80" s="79">
        <f t="shared" si="9"/>
        <v>23.7</v>
      </c>
      <c r="AL80" s="80"/>
      <c r="AM80" s="81"/>
      <c r="AP80" s="82">
        <f t="shared" si="12"/>
        <v>43</v>
      </c>
    </row>
    <row r="81">
      <c r="A81" s="83">
        <v>45640.0</v>
      </c>
      <c r="B81" s="70">
        <f t="shared" si="11"/>
        <v>17</v>
      </c>
      <c r="C81" s="71">
        <v>26.0</v>
      </c>
      <c r="D81" s="66">
        <v>11.0</v>
      </c>
      <c r="E81" s="66">
        <v>94.0</v>
      </c>
      <c r="F81" s="66">
        <v>20.0</v>
      </c>
      <c r="G81" s="66">
        <v>10.0</v>
      </c>
      <c r="H81" s="66">
        <v>43.0</v>
      </c>
      <c r="I81" s="66">
        <v>23.0</v>
      </c>
      <c r="J81" s="66">
        <v>14.0</v>
      </c>
      <c r="K81" s="84">
        <v>14.0</v>
      </c>
      <c r="L81" s="66"/>
      <c r="M81" s="66"/>
      <c r="N81" s="66"/>
      <c r="O81" s="66"/>
      <c r="P81" s="66"/>
      <c r="Q81" s="67"/>
      <c r="R81" s="66">
        <v>6.0</v>
      </c>
      <c r="S81" s="66">
        <v>11.0</v>
      </c>
      <c r="T81" s="66"/>
      <c r="U81" s="66">
        <v>12.0</v>
      </c>
      <c r="V81" s="66">
        <v>8.0</v>
      </c>
      <c r="W81" s="66">
        <v>13.0</v>
      </c>
      <c r="X81" s="66">
        <v>54.0</v>
      </c>
      <c r="Y81" s="66">
        <v>11.0</v>
      </c>
      <c r="Z81" s="66">
        <v>26.0</v>
      </c>
      <c r="AA81" s="66"/>
      <c r="AB81" s="72"/>
      <c r="AC81" s="73">
        <v>14.0</v>
      </c>
      <c r="AD81" s="73"/>
      <c r="AE81" s="74">
        <v>17.0</v>
      </c>
      <c r="AF81" s="75">
        <v>6.0</v>
      </c>
      <c r="AG81" s="73">
        <v>7.0</v>
      </c>
      <c r="AH81" s="85"/>
      <c r="AI81" s="77">
        <f t="shared" si="7"/>
        <v>440</v>
      </c>
      <c r="AJ81" s="78">
        <f t="shared" si="8"/>
        <v>23.29411765</v>
      </c>
      <c r="AK81" s="79">
        <f t="shared" si="9"/>
        <v>20.95238095</v>
      </c>
      <c r="AL81" s="80"/>
      <c r="AM81" s="81"/>
      <c r="AP81" s="82">
        <f t="shared" si="12"/>
        <v>31</v>
      </c>
      <c r="AQ81" s="86"/>
      <c r="AR81" s="86"/>
      <c r="AS81" s="86"/>
      <c r="AT81" s="86"/>
      <c r="AU81" s="86"/>
      <c r="AV81" s="86"/>
      <c r="AW81" s="86"/>
      <c r="AX81" s="86"/>
      <c r="AY81" s="86"/>
      <c r="AZ81" s="86"/>
      <c r="BA81" s="86"/>
      <c r="BB81" s="86"/>
      <c r="BC81" s="86"/>
      <c r="BD81" s="86"/>
      <c r="BE81" s="86"/>
      <c r="BF81" s="86"/>
      <c r="BG81" s="86"/>
      <c r="BH81" s="86"/>
      <c r="BI81" s="86"/>
      <c r="BJ81" s="86"/>
    </row>
    <row r="82">
      <c r="A82" s="83">
        <v>45633.0</v>
      </c>
      <c r="B82" s="70">
        <f t="shared" si="11"/>
        <v>16</v>
      </c>
      <c r="C82" s="71">
        <v>39.0</v>
      </c>
      <c r="D82" s="66">
        <v>11.0</v>
      </c>
      <c r="E82" s="66">
        <v>211.0</v>
      </c>
      <c r="F82" s="66">
        <v>33.0</v>
      </c>
      <c r="G82" s="66">
        <v>15.0</v>
      </c>
      <c r="H82" s="66">
        <v>42.0</v>
      </c>
      <c r="I82" s="66">
        <v>38.0</v>
      </c>
      <c r="J82" s="66">
        <v>25.0</v>
      </c>
      <c r="K82" s="84">
        <v>26.0</v>
      </c>
      <c r="L82" s="66"/>
      <c r="M82" s="66"/>
      <c r="N82" s="66"/>
      <c r="O82" s="66"/>
      <c r="P82" s="66"/>
      <c r="Q82" s="67"/>
      <c r="R82" s="66">
        <v>14.0</v>
      </c>
      <c r="S82" s="66"/>
      <c r="T82" s="66"/>
      <c r="U82" s="66">
        <v>23.0</v>
      </c>
      <c r="V82" s="66">
        <v>20.0</v>
      </c>
      <c r="W82" s="66">
        <v>13.0</v>
      </c>
      <c r="X82" s="66">
        <v>66.0</v>
      </c>
      <c r="Y82" s="66">
        <v>19.0</v>
      </c>
      <c r="Z82" s="66">
        <v>27.0</v>
      </c>
      <c r="AA82" s="66"/>
      <c r="AB82" s="72"/>
      <c r="AC82" s="73">
        <v>22.0</v>
      </c>
      <c r="AD82" s="73"/>
      <c r="AE82" s="74">
        <v>22.0</v>
      </c>
      <c r="AF82" s="75">
        <v>7.0</v>
      </c>
      <c r="AG82" s="73">
        <v>19.0</v>
      </c>
      <c r="AH82" s="85"/>
      <c r="AI82" s="77">
        <f t="shared" si="7"/>
        <v>692</v>
      </c>
      <c r="AJ82" s="78">
        <f t="shared" si="8"/>
        <v>38.875</v>
      </c>
      <c r="AK82" s="79">
        <f t="shared" si="9"/>
        <v>34.6</v>
      </c>
      <c r="AL82" s="80"/>
      <c r="AM82" s="81"/>
      <c r="AP82" s="82">
        <f t="shared" si="12"/>
        <v>44</v>
      </c>
      <c r="AQ82" s="86"/>
      <c r="AR82" s="86"/>
      <c r="AS82" s="86"/>
      <c r="AT82" s="86"/>
      <c r="AU82" s="86"/>
      <c r="AV82" s="86"/>
      <c r="AW82" s="86"/>
      <c r="AX82" s="86"/>
      <c r="AY82" s="86"/>
      <c r="AZ82" s="86"/>
      <c r="BA82" s="86"/>
      <c r="BB82" s="86"/>
      <c r="BC82" s="86"/>
      <c r="BD82" s="86"/>
      <c r="BE82" s="86"/>
      <c r="BF82" s="86"/>
      <c r="BG82" s="86"/>
      <c r="BH82" s="86"/>
      <c r="BI82" s="86"/>
      <c r="BJ82" s="86"/>
    </row>
    <row r="83">
      <c r="A83" s="83">
        <v>45626.0</v>
      </c>
      <c r="B83" s="70">
        <f t="shared" si="11"/>
        <v>16</v>
      </c>
      <c r="C83" s="71">
        <v>38.0</v>
      </c>
      <c r="D83" s="66">
        <v>9.0</v>
      </c>
      <c r="E83" s="66">
        <v>120.0</v>
      </c>
      <c r="F83" s="66">
        <v>42.0</v>
      </c>
      <c r="G83" s="66">
        <v>13.0</v>
      </c>
      <c r="H83" s="66">
        <v>27.0</v>
      </c>
      <c r="I83" s="66">
        <v>44.0</v>
      </c>
      <c r="J83" s="66">
        <v>23.0</v>
      </c>
      <c r="K83" s="84">
        <v>46.0</v>
      </c>
      <c r="L83" s="66"/>
      <c r="M83" s="66"/>
      <c r="N83" s="66"/>
      <c r="O83" s="66"/>
      <c r="P83" s="66"/>
      <c r="Q83" s="67"/>
      <c r="R83" s="66">
        <v>9.0</v>
      </c>
      <c r="S83" s="66"/>
      <c r="T83" s="66"/>
      <c r="U83" s="66">
        <v>26.0</v>
      </c>
      <c r="V83" s="66">
        <v>20.0</v>
      </c>
      <c r="W83" s="66">
        <v>10.0</v>
      </c>
      <c r="X83" s="66">
        <v>91.0</v>
      </c>
      <c r="Y83" s="66">
        <v>23.0</v>
      </c>
      <c r="Z83" s="66">
        <v>32.0</v>
      </c>
      <c r="AA83" s="66"/>
      <c r="AB83" s="72"/>
      <c r="AC83" s="73">
        <v>15.0</v>
      </c>
      <c r="AD83" s="73"/>
      <c r="AE83" s="74">
        <v>25.0</v>
      </c>
      <c r="AF83" s="75">
        <v>14.0</v>
      </c>
      <c r="AG83" s="73">
        <v>18.0</v>
      </c>
      <c r="AH83" s="85"/>
      <c r="AI83" s="77">
        <f t="shared" si="7"/>
        <v>645</v>
      </c>
      <c r="AJ83" s="78">
        <f t="shared" si="8"/>
        <v>35.8125</v>
      </c>
      <c r="AK83" s="79">
        <f t="shared" si="9"/>
        <v>32.25</v>
      </c>
      <c r="AL83" s="80"/>
      <c r="AM83" s="81"/>
      <c r="AP83" s="82">
        <f t="shared" si="12"/>
        <v>40</v>
      </c>
      <c r="AQ83" s="86"/>
      <c r="AR83" s="86"/>
      <c r="AS83" s="86"/>
      <c r="AT83" s="86"/>
      <c r="AU83" s="86"/>
      <c r="AV83" s="86"/>
      <c r="AW83" s="86"/>
      <c r="AX83" s="86"/>
      <c r="AY83" s="86"/>
      <c r="AZ83" s="86"/>
      <c r="BA83" s="86"/>
      <c r="BB83" s="86"/>
      <c r="BC83" s="86"/>
      <c r="BD83" s="86"/>
      <c r="BE83" s="86"/>
      <c r="BF83" s="86"/>
      <c r="BG83" s="86"/>
      <c r="BH83" s="86"/>
      <c r="BI83" s="86"/>
      <c r="BJ83" s="86"/>
    </row>
    <row r="84">
      <c r="A84" s="83">
        <v>45619.0</v>
      </c>
      <c r="B84" s="70">
        <f t="shared" si="11"/>
        <v>17</v>
      </c>
      <c r="C84" s="71">
        <v>29.0</v>
      </c>
      <c r="D84" s="66">
        <v>8.0</v>
      </c>
      <c r="E84" s="66">
        <v>127.0</v>
      </c>
      <c r="F84" s="66">
        <v>44.0</v>
      </c>
      <c r="G84" s="66">
        <v>11.0</v>
      </c>
      <c r="H84" s="66">
        <v>21.0</v>
      </c>
      <c r="I84" s="66">
        <v>39.0</v>
      </c>
      <c r="J84" s="66">
        <v>22.0</v>
      </c>
      <c r="K84" s="84">
        <v>30.0</v>
      </c>
      <c r="L84" s="66"/>
      <c r="M84" s="66"/>
      <c r="N84" s="66"/>
      <c r="O84" s="66"/>
      <c r="P84" s="66"/>
      <c r="Q84" s="67"/>
      <c r="R84" s="66">
        <v>9.0</v>
      </c>
      <c r="S84" s="66">
        <v>7.0</v>
      </c>
      <c r="T84" s="66"/>
      <c r="U84" s="66">
        <v>23.0</v>
      </c>
      <c r="V84" s="66">
        <v>24.0</v>
      </c>
      <c r="W84" s="66">
        <v>8.0</v>
      </c>
      <c r="X84" s="66">
        <v>51.0</v>
      </c>
      <c r="Y84" s="66">
        <v>18.0</v>
      </c>
      <c r="Z84" s="66">
        <v>24.0</v>
      </c>
      <c r="AA84" s="66"/>
      <c r="AB84" s="72"/>
      <c r="AC84" s="73">
        <v>16.0</v>
      </c>
      <c r="AD84" s="73"/>
      <c r="AE84" s="74">
        <v>25.0</v>
      </c>
      <c r="AF84" s="75">
        <v>13.0</v>
      </c>
      <c r="AG84" s="73">
        <v>9.0</v>
      </c>
      <c r="AH84" s="85"/>
      <c r="AI84" s="77">
        <f t="shared" si="7"/>
        <v>558</v>
      </c>
      <c r="AJ84" s="78">
        <f t="shared" si="8"/>
        <v>29.11764706</v>
      </c>
      <c r="AK84" s="79">
        <f t="shared" si="9"/>
        <v>26.57142857</v>
      </c>
      <c r="AL84" s="80"/>
      <c r="AM84" s="81"/>
      <c r="AP84" s="82">
        <f t="shared" si="12"/>
        <v>41</v>
      </c>
      <c r="AQ84" s="86"/>
      <c r="AR84" s="86"/>
      <c r="AS84" s="86"/>
      <c r="AT84" s="86"/>
      <c r="AU84" s="86"/>
      <c r="AV84" s="86"/>
      <c r="AW84" s="86"/>
      <c r="AX84" s="86"/>
      <c r="AY84" s="86"/>
      <c r="AZ84" s="86"/>
      <c r="BA84" s="86"/>
      <c r="BB84" s="86"/>
      <c r="BC84" s="86"/>
      <c r="BD84" s="86"/>
      <c r="BE84" s="86"/>
      <c r="BF84" s="86"/>
      <c r="BG84" s="86"/>
      <c r="BH84" s="86"/>
      <c r="BI84" s="86"/>
      <c r="BJ84" s="86"/>
    </row>
    <row r="85">
      <c r="A85" s="83">
        <v>45612.0</v>
      </c>
      <c r="B85" s="70">
        <f t="shared" si="11"/>
        <v>16</v>
      </c>
      <c r="C85" s="71">
        <v>44.0</v>
      </c>
      <c r="D85" s="66">
        <v>14.0</v>
      </c>
      <c r="E85" s="66">
        <v>159.0</v>
      </c>
      <c r="F85" s="66">
        <v>31.0</v>
      </c>
      <c r="G85" s="66">
        <v>16.0</v>
      </c>
      <c r="H85" s="66">
        <v>40.0</v>
      </c>
      <c r="I85" s="66">
        <v>48.0</v>
      </c>
      <c r="J85" s="66">
        <v>22.0</v>
      </c>
      <c r="K85" s="84">
        <v>28.0</v>
      </c>
      <c r="L85" s="66"/>
      <c r="M85" s="66"/>
      <c r="N85" s="66"/>
      <c r="O85" s="66"/>
      <c r="P85" s="66"/>
      <c r="Q85" s="67"/>
      <c r="R85" s="66">
        <v>10.0</v>
      </c>
      <c r="S85" s="66"/>
      <c r="T85" s="66"/>
      <c r="U85" s="66">
        <v>32.0</v>
      </c>
      <c r="V85" s="66">
        <v>23.0</v>
      </c>
      <c r="W85" s="66">
        <v>15.0</v>
      </c>
      <c r="X85" s="66">
        <v>89.0</v>
      </c>
      <c r="Y85" s="66">
        <v>15.0</v>
      </c>
      <c r="Z85" s="66">
        <v>18.0</v>
      </c>
      <c r="AA85" s="66"/>
      <c r="AB85" s="72"/>
      <c r="AC85" s="73">
        <v>11.0</v>
      </c>
      <c r="AD85" s="73"/>
      <c r="AE85" s="74">
        <v>25.0</v>
      </c>
      <c r="AF85" s="75">
        <v>14.0</v>
      </c>
      <c r="AG85" s="73">
        <v>17.0</v>
      </c>
      <c r="AH85" s="85"/>
      <c r="AI85" s="77">
        <f t="shared" si="7"/>
        <v>671</v>
      </c>
      <c r="AJ85" s="78">
        <f t="shared" si="8"/>
        <v>37.75</v>
      </c>
      <c r="AK85" s="79">
        <f t="shared" si="9"/>
        <v>33.55</v>
      </c>
      <c r="AL85" s="80"/>
      <c r="AM85" s="81"/>
      <c r="AP85" s="82">
        <f t="shared" si="12"/>
        <v>36</v>
      </c>
      <c r="AQ85" s="86"/>
      <c r="AR85" s="86"/>
      <c r="AS85" s="86"/>
      <c r="AT85" s="86"/>
      <c r="AU85" s="86"/>
      <c r="AV85" s="86"/>
      <c r="AW85" s="86"/>
      <c r="AX85" s="86"/>
      <c r="AY85" s="86"/>
      <c r="AZ85" s="86"/>
      <c r="BA85" s="86"/>
      <c r="BB85" s="86"/>
      <c r="BC85" s="86"/>
      <c r="BD85" s="86"/>
      <c r="BE85" s="86"/>
      <c r="BF85" s="86"/>
      <c r="BG85" s="86"/>
      <c r="BH85" s="86"/>
      <c r="BI85" s="86"/>
      <c r="BJ85" s="86"/>
    </row>
    <row r="86">
      <c r="A86" s="83">
        <v>45605.0</v>
      </c>
      <c r="B86" s="70">
        <f t="shared" si="11"/>
        <v>17</v>
      </c>
      <c r="C86" s="71">
        <v>43.0</v>
      </c>
      <c r="D86" s="66">
        <v>15.0</v>
      </c>
      <c r="E86" s="66">
        <v>120.0</v>
      </c>
      <c r="F86" s="66">
        <v>47.0</v>
      </c>
      <c r="G86" s="66">
        <v>12.0</v>
      </c>
      <c r="H86" s="66">
        <v>43.0</v>
      </c>
      <c r="I86" s="66">
        <v>40.0</v>
      </c>
      <c r="J86" s="66">
        <v>35.0</v>
      </c>
      <c r="K86" s="84">
        <v>30.0</v>
      </c>
      <c r="L86" s="66"/>
      <c r="M86" s="66"/>
      <c r="N86" s="66"/>
      <c r="O86" s="66"/>
      <c r="P86" s="66"/>
      <c r="Q86" s="67"/>
      <c r="R86" s="66">
        <v>12.0</v>
      </c>
      <c r="S86" s="66">
        <v>5.0</v>
      </c>
      <c r="T86" s="66"/>
      <c r="U86" s="66">
        <v>29.0</v>
      </c>
      <c r="V86" s="66">
        <v>26.0</v>
      </c>
      <c r="W86" s="66">
        <v>9.0</v>
      </c>
      <c r="X86" s="66">
        <v>65.0</v>
      </c>
      <c r="Y86" s="66">
        <v>15.0</v>
      </c>
      <c r="Z86" s="66">
        <v>13.0</v>
      </c>
      <c r="AA86" s="66"/>
      <c r="AB86" s="72"/>
      <c r="AC86" s="73">
        <v>18.0</v>
      </c>
      <c r="AD86" s="73"/>
      <c r="AE86" s="74">
        <v>22.0</v>
      </c>
      <c r="AF86" s="75">
        <v>12.0</v>
      </c>
      <c r="AG86" s="73">
        <v>14.0</v>
      </c>
      <c r="AH86" s="85"/>
      <c r="AI86" s="77">
        <f t="shared" si="7"/>
        <v>625</v>
      </c>
      <c r="AJ86" s="78">
        <f t="shared" si="8"/>
        <v>32.88235294</v>
      </c>
      <c r="AK86" s="79">
        <f t="shared" si="9"/>
        <v>29.76190476</v>
      </c>
      <c r="AL86" s="80"/>
      <c r="AM86" s="81"/>
      <c r="AP86" s="82">
        <f t="shared" si="12"/>
        <v>40</v>
      </c>
      <c r="AQ86" s="86"/>
      <c r="AR86" s="86"/>
      <c r="AS86" s="86"/>
      <c r="AT86" s="86"/>
      <c r="AU86" s="86"/>
      <c r="AV86" s="86"/>
      <c r="AW86" s="86"/>
      <c r="AX86" s="86"/>
      <c r="AY86" s="86"/>
      <c r="AZ86" s="86"/>
      <c r="BA86" s="86"/>
      <c r="BB86" s="86"/>
      <c r="BC86" s="86"/>
      <c r="BD86" s="86"/>
      <c r="BE86" s="86"/>
      <c r="BF86" s="86"/>
      <c r="BG86" s="86"/>
      <c r="BH86" s="86"/>
      <c r="BI86" s="86"/>
      <c r="BJ86" s="86"/>
    </row>
    <row r="87">
      <c r="A87" s="83">
        <v>45598.0</v>
      </c>
      <c r="B87" s="70">
        <f t="shared" si="11"/>
        <v>13</v>
      </c>
      <c r="C87" s="71">
        <v>22.0</v>
      </c>
      <c r="D87" s="66">
        <v>5.0</v>
      </c>
      <c r="E87" s="66">
        <v>76.0</v>
      </c>
      <c r="F87" s="66">
        <v>22.0</v>
      </c>
      <c r="G87" s="66">
        <v>5.0</v>
      </c>
      <c r="H87" s="66">
        <v>23.0</v>
      </c>
      <c r="I87" s="66">
        <v>28.0</v>
      </c>
      <c r="J87" s="66">
        <v>17.0</v>
      </c>
      <c r="K87" s="84">
        <v>20.0</v>
      </c>
      <c r="L87" s="66"/>
      <c r="M87" s="66"/>
      <c r="N87" s="66"/>
      <c r="O87" s="66"/>
      <c r="P87" s="66"/>
      <c r="Q87" s="67"/>
      <c r="R87" s="66">
        <v>7.0</v>
      </c>
      <c r="S87" s="66"/>
      <c r="T87" s="66"/>
      <c r="U87" s="66"/>
      <c r="V87" s="66">
        <v>19.0</v>
      </c>
      <c r="W87" s="66"/>
      <c r="X87" s="66"/>
      <c r="Y87" s="66">
        <v>13.0</v>
      </c>
      <c r="Z87" s="66">
        <v>6.0</v>
      </c>
      <c r="AA87" s="66"/>
      <c r="AB87" s="72"/>
      <c r="AC87" s="73">
        <v>15.0</v>
      </c>
      <c r="AD87" s="73"/>
      <c r="AE87" s="74">
        <v>20.0</v>
      </c>
      <c r="AF87" s="75">
        <v>14.0</v>
      </c>
      <c r="AG87" s="73">
        <v>12.0</v>
      </c>
      <c r="AH87" s="76"/>
      <c r="AI87" s="77">
        <f t="shared" si="7"/>
        <v>324</v>
      </c>
      <c r="AJ87" s="78">
        <f t="shared" si="8"/>
        <v>20.23076923</v>
      </c>
      <c r="AK87" s="79">
        <f t="shared" si="9"/>
        <v>19.05882353</v>
      </c>
      <c r="AL87" s="80"/>
      <c r="AM87" s="81"/>
      <c r="AN87" s="68" t="s">
        <v>50</v>
      </c>
      <c r="AP87" s="82">
        <f t="shared" si="12"/>
        <v>35</v>
      </c>
      <c r="AQ87" s="86"/>
      <c r="AR87" s="86"/>
      <c r="AS87" s="86"/>
      <c r="AT87" s="86"/>
      <c r="AU87" s="86"/>
      <c r="AV87" s="86"/>
      <c r="AW87" s="86"/>
      <c r="AX87" s="86"/>
      <c r="AY87" s="86"/>
      <c r="AZ87" s="86"/>
      <c r="BA87" s="86"/>
      <c r="BB87" s="86"/>
      <c r="BC87" s="86"/>
      <c r="BD87" s="86"/>
      <c r="BE87" s="86"/>
      <c r="BF87" s="86"/>
      <c r="BG87" s="86"/>
      <c r="BH87" s="86"/>
      <c r="BI87" s="86"/>
      <c r="BJ87" s="86"/>
    </row>
    <row r="88">
      <c r="A88" s="83">
        <v>45591.0</v>
      </c>
      <c r="B88" s="70">
        <f t="shared" si="11"/>
        <v>17</v>
      </c>
      <c r="C88" s="71">
        <v>39.0</v>
      </c>
      <c r="D88" s="66">
        <v>13.0</v>
      </c>
      <c r="E88" s="66">
        <v>151.0</v>
      </c>
      <c r="F88" s="66">
        <v>39.0</v>
      </c>
      <c r="G88" s="66">
        <v>11.0</v>
      </c>
      <c r="H88" s="66">
        <v>40.0</v>
      </c>
      <c r="I88" s="66">
        <v>45.0</v>
      </c>
      <c r="J88" s="66">
        <v>27.0</v>
      </c>
      <c r="K88" s="84">
        <v>24.0</v>
      </c>
      <c r="L88" s="66"/>
      <c r="M88" s="66"/>
      <c r="N88" s="66"/>
      <c r="O88" s="66"/>
      <c r="P88" s="66"/>
      <c r="Q88" s="67"/>
      <c r="R88" s="66">
        <v>12.0</v>
      </c>
      <c r="S88" s="66">
        <v>16.0</v>
      </c>
      <c r="T88" s="66"/>
      <c r="U88" s="66">
        <v>25.0</v>
      </c>
      <c r="V88" s="66">
        <v>33.0</v>
      </c>
      <c r="W88" s="66">
        <v>8.0</v>
      </c>
      <c r="X88" s="66">
        <v>85.0</v>
      </c>
      <c r="Y88" s="66">
        <v>19.0</v>
      </c>
      <c r="Z88" s="66">
        <v>16.0</v>
      </c>
      <c r="AA88" s="66"/>
      <c r="AB88" s="72"/>
      <c r="AC88" s="73">
        <v>19.0</v>
      </c>
      <c r="AD88" s="73"/>
      <c r="AE88" s="74">
        <v>13.0</v>
      </c>
      <c r="AF88" s="75">
        <v>17.0</v>
      </c>
      <c r="AG88" s="73">
        <v>20.0</v>
      </c>
      <c r="AH88" s="76"/>
      <c r="AI88" s="77">
        <f t="shared" si="7"/>
        <v>672</v>
      </c>
      <c r="AJ88" s="78">
        <f t="shared" si="8"/>
        <v>35.47058824</v>
      </c>
      <c r="AK88" s="79">
        <f t="shared" si="9"/>
        <v>32</v>
      </c>
      <c r="AL88" s="80"/>
      <c r="AM88" s="81"/>
      <c r="AP88" s="82">
        <f t="shared" si="12"/>
        <v>32</v>
      </c>
      <c r="AQ88" s="86"/>
      <c r="AR88" s="86"/>
      <c r="AS88" s="86"/>
      <c r="AT88" s="86"/>
      <c r="AU88" s="86"/>
      <c r="AV88" s="86"/>
      <c r="AW88" s="86"/>
      <c r="AX88" s="86"/>
      <c r="AY88" s="86"/>
      <c r="AZ88" s="86"/>
      <c r="BA88" s="86"/>
      <c r="BB88" s="86"/>
      <c r="BC88" s="86"/>
      <c r="BD88" s="86"/>
      <c r="BE88" s="86"/>
      <c r="BF88" s="86"/>
      <c r="BG88" s="86"/>
      <c r="BH88" s="86"/>
      <c r="BI88" s="86"/>
      <c r="BJ88" s="86"/>
    </row>
    <row r="89">
      <c r="A89" s="83">
        <v>45584.0</v>
      </c>
      <c r="B89" s="70">
        <f t="shared" si="11"/>
        <v>17</v>
      </c>
      <c r="C89" s="71">
        <v>28.0</v>
      </c>
      <c r="D89" s="66">
        <v>9.0</v>
      </c>
      <c r="E89" s="66">
        <v>126.0</v>
      </c>
      <c r="F89" s="66">
        <v>42.0</v>
      </c>
      <c r="G89" s="66">
        <v>16.0</v>
      </c>
      <c r="H89" s="66">
        <v>31.0</v>
      </c>
      <c r="I89" s="66">
        <v>51.0</v>
      </c>
      <c r="J89" s="66">
        <v>29.0</v>
      </c>
      <c r="K89" s="84">
        <v>31.0</v>
      </c>
      <c r="L89" s="66"/>
      <c r="M89" s="66"/>
      <c r="N89" s="66"/>
      <c r="O89" s="66"/>
      <c r="P89" s="66"/>
      <c r="Q89" s="67"/>
      <c r="R89" s="66">
        <v>14.0</v>
      </c>
      <c r="S89" s="66">
        <v>11.0</v>
      </c>
      <c r="T89" s="66"/>
      <c r="U89" s="66">
        <v>44.0</v>
      </c>
      <c r="V89" s="66">
        <v>25.0</v>
      </c>
      <c r="W89" s="66">
        <v>7.0</v>
      </c>
      <c r="X89" s="66">
        <v>93.0</v>
      </c>
      <c r="Y89" s="66">
        <v>13.0</v>
      </c>
      <c r="Z89" s="66">
        <v>9.0</v>
      </c>
      <c r="AA89" s="66"/>
      <c r="AB89" s="72"/>
      <c r="AC89" s="73">
        <v>12.0</v>
      </c>
      <c r="AD89" s="73"/>
      <c r="AE89" s="74">
        <v>24.0</v>
      </c>
      <c r="AF89" s="75">
        <v>17.0</v>
      </c>
      <c r="AG89" s="73">
        <v>17.0</v>
      </c>
      <c r="AH89" s="76"/>
      <c r="AI89" s="77">
        <f t="shared" si="7"/>
        <v>649</v>
      </c>
      <c r="AJ89" s="78">
        <f t="shared" si="8"/>
        <v>34.05882353</v>
      </c>
      <c r="AK89" s="79">
        <f t="shared" si="9"/>
        <v>30.9047619</v>
      </c>
      <c r="AL89" s="80"/>
      <c r="AM89" s="81"/>
      <c r="AP89" s="82">
        <f t="shared" si="12"/>
        <v>36</v>
      </c>
      <c r="AQ89" s="86"/>
      <c r="AR89" s="86"/>
      <c r="AS89" s="86"/>
      <c r="AT89" s="86"/>
      <c r="AU89" s="86"/>
      <c r="AV89" s="86"/>
      <c r="AW89" s="86"/>
      <c r="AX89" s="86"/>
      <c r="AY89" s="86"/>
      <c r="AZ89" s="86"/>
      <c r="BA89" s="86"/>
      <c r="BB89" s="86"/>
      <c r="BC89" s="86"/>
      <c r="BD89" s="86"/>
      <c r="BE89" s="86"/>
      <c r="BF89" s="86"/>
      <c r="BG89" s="86"/>
      <c r="BH89" s="86"/>
      <c r="BI89" s="86"/>
      <c r="BJ89" s="86"/>
    </row>
    <row r="90">
      <c r="A90" s="83">
        <v>45577.0</v>
      </c>
      <c r="B90" s="70">
        <f t="shared" si="11"/>
        <v>17</v>
      </c>
      <c r="C90" s="71">
        <v>32.0</v>
      </c>
      <c r="D90" s="66">
        <v>9.0</v>
      </c>
      <c r="E90" s="66">
        <v>111.0</v>
      </c>
      <c r="F90" s="66">
        <v>26.0</v>
      </c>
      <c r="G90" s="66">
        <v>11.0</v>
      </c>
      <c r="H90" s="66">
        <v>21.0</v>
      </c>
      <c r="I90" s="66">
        <v>46.0</v>
      </c>
      <c r="J90" s="66">
        <v>21.0</v>
      </c>
      <c r="K90" s="84">
        <v>24.0</v>
      </c>
      <c r="L90" s="66"/>
      <c r="M90" s="66"/>
      <c r="N90" s="66"/>
      <c r="O90" s="66"/>
      <c r="P90" s="66"/>
      <c r="Q90" s="67"/>
      <c r="R90" s="66">
        <v>13.0</v>
      </c>
      <c r="S90" s="66">
        <v>17.0</v>
      </c>
      <c r="T90" s="66"/>
      <c r="U90" s="66">
        <v>22.0</v>
      </c>
      <c r="V90" s="66">
        <v>11.0</v>
      </c>
      <c r="W90" s="66">
        <v>12.0</v>
      </c>
      <c r="X90" s="66">
        <v>80.0</v>
      </c>
      <c r="Y90" s="87">
        <v>15.0</v>
      </c>
      <c r="Z90" s="66">
        <v>9.0</v>
      </c>
      <c r="AA90" s="66"/>
      <c r="AB90" s="72"/>
      <c r="AC90" s="73">
        <v>10.0</v>
      </c>
      <c r="AD90" s="73"/>
      <c r="AE90" s="74">
        <v>8.0</v>
      </c>
      <c r="AF90" s="75">
        <v>27.0</v>
      </c>
      <c r="AG90" s="73">
        <v>20.0</v>
      </c>
      <c r="AH90" s="76"/>
      <c r="AI90" s="77">
        <f t="shared" si="7"/>
        <v>545</v>
      </c>
      <c r="AJ90" s="78">
        <f t="shared" si="8"/>
        <v>28.23529412</v>
      </c>
      <c r="AK90" s="79">
        <f t="shared" si="9"/>
        <v>25.95238095</v>
      </c>
      <c r="AL90" s="80"/>
      <c r="AM90" s="81"/>
      <c r="AP90" s="82">
        <f t="shared" si="12"/>
        <v>18</v>
      </c>
    </row>
    <row r="91">
      <c r="A91" s="83">
        <v>45570.0</v>
      </c>
      <c r="B91" s="70">
        <f t="shared" si="11"/>
        <v>17</v>
      </c>
      <c r="C91" s="71">
        <v>42.0</v>
      </c>
      <c r="D91" s="66">
        <v>18.0</v>
      </c>
      <c r="E91" s="66">
        <v>127.0</v>
      </c>
      <c r="F91" s="66">
        <v>57.0</v>
      </c>
      <c r="G91" s="66">
        <v>10.0</v>
      </c>
      <c r="H91" s="66">
        <v>24.0</v>
      </c>
      <c r="I91" s="66">
        <v>53.0</v>
      </c>
      <c r="J91" s="66">
        <v>28.0</v>
      </c>
      <c r="K91" s="84">
        <v>37.0</v>
      </c>
      <c r="L91" s="66"/>
      <c r="M91" s="66"/>
      <c r="N91" s="66"/>
      <c r="O91" s="66"/>
      <c r="P91" s="66"/>
      <c r="Q91" s="67"/>
      <c r="R91" s="66">
        <v>20.0</v>
      </c>
      <c r="S91" s="66">
        <v>15.0</v>
      </c>
      <c r="T91" s="66"/>
      <c r="U91" s="66">
        <v>29.0</v>
      </c>
      <c r="V91" s="66">
        <v>25.0</v>
      </c>
      <c r="W91" s="66">
        <v>8.0</v>
      </c>
      <c r="X91" s="66">
        <v>92.0</v>
      </c>
      <c r="Y91" s="87">
        <v>21.0</v>
      </c>
      <c r="Z91" s="66">
        <v>17.0</v>
      </c>
      <c r="AA91" s="66"/>
      <c r="AB91" s="72"/>
      <c r="AC91" s="73">
        <v>23.0</v>
      </c>
      <c r="AD91" s="73"/>
      <c r="AE91" s="74">
        <v>17.0</v>
      </c>
      <c r="AF91" s="75">
        <v>16.0</v>
      </c>
      <c r="AG91" s="73">
        <v>22.0</v>
      </c>
      <c r="AH91" s="76"/>
      <c r="AI91" s="77">
        <f t="shared" si="7"/>
        <v>701</v>
      </c>
      <c r="AJ91" s="78">
        <f t="shared" si="8"/>
        <v>36.64705882</v>
      </c>
      <c r="AK91" s="79">
        <f t="shared" si="9"/>
        <v>33.38095238</v>
      </c>
      <c r="AL91" s="80"/>
      <c r="AM91" s="81"/>
      <c r="AP91" s="82">
        <f t="shared" si="12"/>
        <v>40</v>
      </c>
    </row>
    <row r="92">
      <c r="A92" s="83">
        <v>45563.0</v>
      </c>
      <c r="B92" s="70">
        <f t="shared" si="11"/>
        <v>16</v>
      </c>
      <c r="C92" s="71">
        <v>27.0</v>
      </c>
      <c r="D92" s="66">
        <v>3.0</v>
      </c>
      <c r="E92" s="66">
        <v>85.0</v>
      </c>
      <c r="F92" s="66">
        <v>43.0</v>
      </c>
      <c r="G92" s="66">
        <v>6.0</v>
      </c>
      <c r="H92" s="66">
        <v>22.0</v>
      </c>
      <c r="I92" s="66">
        <v>31.0</v>
      </c>
      <c r="J92" s="66">
        <v>13.0</v>
      </c>
      <c r="K92" s="84">
        <v>21.0</v>
      </c>
      <c r="L92" s="66"/>
      <c r="M92" s="66"/>
      <c r="N92" s="66"/>
      <c r="O92" s="66"/>
      <c r="P92" s="66"/>
      <c r="Q92" s="67"/>
      <c r="R92" s="66">
        <v>8.0</v>
      </c>
      <c r="S92" s="66"/>
      <c r="T92" s="66"/>
      <c r="U92" s="66">
        <v>31.0</v>
      </c>
      <c r="V92" s="66">
        <v>6.0</v>
      </c>
      <c r="W92" s="66">
        <v>12.0</v>
      </c>
      <c r="X92" s="66">
        <v>79.0</v>
      </c>
      <c r="Y92" s="87">
        <v>8.0</v>
      </c>
      <c r="Z92" s="66">
        <v>66.0</v>
      </c>
      <c r="AA92" s="66"/>
      <c r="AB92" s="72"/>
      <c r="AC92" s="73">
        <v>13.0</v>
      </c>
      <c r="AD92" s="73"/>
      <c r="AE92" s="74">
        <v>23.0</v>
      </c>
      <c r="AF92" s="75">
        <v>12.0</v>
      </c>
      <c r="AG92" s="73">
        <v>30.0</v>
      </c>
      <c r="AH92" s="76"/>
      <c r="AI92" s="77">
        <f t="shared" si="7"/>
        <v>539</v>
      </c>
      <c r="AJ92" s="78">
        <f t="shared" si="8"/>
        <v>28.8125</v>
      </c>
      <c r="AK92" s="79">
        <f t="shared" si="9"/>
        <v>26.95</v>
      </c>
      <c r="AL92" s="80"/>
      <c r="AM92" s="81"/>
      <c r="AP92" s="82">
        <f t="shared" si="12"/>
        <v>36</v>
      </c>
    </row>
    <row r="93">
      <c r="A93" s="83">
        <v>45556.0</v>
      </c>
      <c r="B93" s="70">
        <f t="shared" si="11"/>
        <v>17</v>
      </c>
      <c r="C93" s="71">
        <v>36.0</v>
      </c>
      <c r="D93" s="66">
        <v>13.0</v>
      </c>
      <c r="E93" s="66">
        <v>127.0</v>
      </c>
      <c r="F93" s="66">
        <v>44.0</v>
      </c>
      <c r="G93" s="66">
        <v>25.0</v>
      </c>
      <c r="H93" s="66">
        <v>43.0</v>
      </c>
      <c r="I93" s="66">
        <v>57.0</v>
      </c>
      <c r="J93" s="66">
        <v>41.0</v>
      </c>
      <c r="K93" s="84">
        <v>33.0</v>
      </c>
      <c r="L93" s="66"/>
      <c r="M93" s="66"/>
      <c r="N93" s="66"/>
      <c r="O93" s="66"/>
      <c r="P93" s="66"/>
      <c r="Q93" s="67"/>
      <c r="R93" s="66">
        <v>19.0</v>
      </c>
      <c r="S93" s="66">
        <v>12.0</v>
      </c>
      <c r="T93" s="66"/>
      <c r="U93" s="66">
        <v>45.0</v>
      </c>
      <c r="V93" s="66">
        <v>46.0</v>
      </c>
      <c r="W93" s="66">
        <v>2.0</v>
      </c>
      <c r="X93" s="66">
        <v>69.0</v>
      </c>
      <c r="Y93" s="87">
        <v>20.0</v>
      </c>
      <c r="Z93" s="66">
        <v>9.0</v>
      </c>
      <c r="AA93" s="66"/>
      <c r="AB93" s="72"/>
      <c r="AC93" s="73">
        <v>20.0</v>
      </c>
      <c r="AD93" s="73"/>
      <c r="AE93" s="74">
        <v>21.0</v>
      </c>
      <c r="AF93" s="75">
        <v>24.0</v>
      </c>
      <c r="AG93" s="73">
        <v>25.0</v>
      </c>
      <c r="AH93" s="76"/>
      <c r="AI93" s="77">
        <f t="shared" si="7"/>
        <v>731</v>
      </c>
      <c r="AJ93" s="78">
        <f t="shared" si="8"/>
        <v>37.70588235</v>
      </c>
      <c r="AK93" s="79">
        <f t="shared" si="9"/>
        <v>34.80952381</v>
      </c>
      <c r="AL93" s="80"/>
      <c r="AM93" s="81"/>
      <c r="AP93" s="82">
        <f t="shared" si="12"/>
        <v>41</v>
      </c>
    </row>
    <row r="94">
      <c r="A94" s="83">
        <v>45549.0</v>
      </c>
      <c r="B94" s="70">
        <f t="shared" si="11"/>
        <v>16</v>
      </c>
      <c r="C94" s="71">
        <v>44.0</v>
      </c>
      <c r="D94" s="66">
        <v>12.0</v>
      </c>
      <c r="E94" s="66">
        <v>189.0</v>
      </c>
      <c r="F94" s="66">
        <v>60.0</v>
      </c>
      <c r="G94" s="66">
        <v>10.0</v>
      </c>
      <c r="H94" s="66">
        <v>48.0</v>
      </c>
      <c r="I94" s="66">
        <v>61.0</v>
      </c>
      <c r="J94" s="66">
        <v>47.0</v>
      </c>
      <c r="K94" s="84">
        <v>51.0</v>
      </c>
      <c r="L94" s="66"/>
      <c r="M94" s="66"/>
      <c r="N94" s="66"/>
      <c r="O94" s="66"/>
      <c r="P94" s="66"/>
      <c r="Q94" s="67"/>
      <c r="R94" s="66">
        <v>19.0</v>
      </c>
      <c r="S94" s="66">
        <v>12.0</v>
      </c>
      <c r="T94" s="66"/>
      <c r="U94" s="66">
        <v>28.0</v>
      </c>
      <c r="V94" s="66">
        <v>19.0</v>
      </c>
      <c r="W94" s="66"/>
      <c r="X94" s="66">
        <v>155.0</v>
      </c>
      <c r="Y94" s="87">
        <v>27.0</v>
      </c>
      <c r="Z94" s="66">
        <v>27.0</v>
      </c>
      <c r="AA94" s="66"/>
      <c r="AB94" s="72"/>
      <c r="AC94" s="73">
        <v>20.0</v>
      </c>
      <c r="AD94" s="73"/>
      <c r="AE94" s="74">
        <v>20.0</v>
      </c>
      <c r="AF94" s="75">
        <v>19.0</v>
      </c>
      <c r="AG94" s="73">
        <v>7.0</v>
      </c>
      <c r="AH94" s="76"/>
      <c r="AI94" s="77">
        <f t="shared" si="7"/>
        <v>875</v>
      </c>
      <c r="AJ94" s="78">
        <f t="shared" si="8"/>
        <v>50.5625</v>
      </c>
      <c r="AK94" s="79">
        <f t="shared" si="9"/>
        <v>43.75</v>
      </c>
      <c r="AL94" s="80"/>
      <c r="AM94" s="81"/>
      <c r="AP94" s="82">
        <f t="shared" si="12"/>
        <v>40</v>
      </c>
    </row>
    <row r="95">
      <c r="A95" s="83">
        <v>45542.0</v>
      </c>
      <c r="B95" s="70">
        <f t="shared" si="11"/>
        <v>16</v>
      </c>
      <c r="C95" s="71">
        <v>46.0</v>
      </c>
      <c r="D95" s="66">
        <v>12.0</v>
      </c>
      <c r="E95" s="66">
        <v>250.0</v>
      </c>
      <c r="F95" s="66">
        <v>50.0</v>
      </c>
      <c r="G95" s="66">
        <v>18.0</v>
      </c>
      <c r="H95" s="66">
        <v>57.0</v>
      </c>
      <c r="I95" s="66">
        <v>66.0</v>
      </c>
      <c r="J95" s="66">
        <v>58.0</v>
      </c>
      <c r="K95" s="84">
        <v>39.0</v>
      </c>
      <c r="L95" s="66"/>
      <c r="M95" s="66"/>
      <c r="N95" s="66"/>
      <c r="O95" s="66"/>
      <c r="P95" s="66"/>
      <c r="Q95" s="67"/>
      <c r="R95" s="66">
        <v>11.0</v>
      </c>
      <c r="S95" s="66">
        <v>15.0</v>
      </c>
      <c r="T95" s="66"/>
      <c r="U95" s="66">
        <v>52.0</v>
      </c>
      <c r="V95" s="66">
        <v>18.0</v>
      </c>
      <c r="W95" s="66">
        <v>9.0</v>
      </c>
      <c r="X95" s="66">
        <v>126.0</v>
      </c>
      <c r="Y95" s="87">
        <v>15.0</v>
      </c>
      <c r="Z95" s="66"/>
      <c r="AA95" s="66"/>
      <c r="AB95" s="72"/>
      <c r="AC95" s="73">
        <v>23.0</v>
      </c>
      <c r="AD95" s="73"/>
      <c r="AE95" s="74">
        <v>31.0</v>
      </c>
      <c r="AF95" s="75">
        <v>7.0</v>
      </c>
      <c r="AG95" s="73">
        <v>18.0</v>
      </c>
      <c r="AH95" s="76">
        <v>4.0</v>
      </c>
      <c r="AI95" s="77">
        <f t="shared" si="7"/>
        <v>925</v>
      </c>
      <c r="AJ95" s="78">
        <f t="shared" si="8"/>
        <v>52.625</v>
      </c>
      <c r="AK95" s="79">
        <f t="shared" si="9"/>
        <v>44.04761905</v>
      </c>
      <c r="AL95" s="80"/>
      <c r="AM95" s="81"/>
      <c r="AP95" s="82">
        <f t="shared" si="12"/>
        <v>54</v>
      </c>
    </row>
    <row r="96">
      <c r="A96" s="83">
        <v>45535.0</v>
      </c>
      <c r="B96" s="70">
        <f t="shared" si="11"/>
        <v>16</v>
      </c>
      <c r="C96" s="71">
        <v>43.0</v>
      </c>
      <c r="D96" s="66">
        <v>14.0</v>
      </c>
      <c r="E96" s="66">
        <v>268.0</v>
      </c>
      <c r="F96" s="66">
        <v>43.0</v>
      </c>
      <c r="G96" s="66">
        <v>14.0</v>
      </c>
      <c r="H96" s="66">
        <v>98.0</v>
      </c>
      <c r="I96" s="66">
        <v>87.0</v>
      </c>
      <c r="J96" s="66">
        <v>91.0</v>
      </c>
      <c r="K96" s="84">
        <v>34.0</v>
      </c>
      <c r="L96" s="66"/>
      <c r="M96" s="66"/>
      <c r="N96" s="66"/>
      <c r="O96" s="66"/>
      <c r="P96" s="66"/>
      <c r="Q96" s="67"/>
      <c r="R96" s="66">
        <v>19.0</v>
      </c>
      <c r="S96" s="66">
        <v>17.0</v>
      </c>
      <c r="T96" s="66"/>
      <c r="U96" s="66">
        <v>64.0</v>
      </c>
      <c r="V96" s="66">
        <v>34.0</v>
      </c>
      <c r="W96" s="66">
        <v>5.0</v>
      </c>
      <c r="X96" s="66">
        <v>74.0</v>
      </c>
      <c r="Y96" s="87">
        <v>24.0</v>
      </c>
      <c r="Z96" s="66"/>
      <c r="AA96" s="66"/>
      <c r="AB96" s="72"/>
      <c r="AC96" s="73">
        <v>22.0</v>
      </c>
      <c r="AD96" s="73"/>
      <c r="AE96" s="74">
        <v>38.0</v>
      </c>
      <c r="AF96" s="75">
        <v>22.0</v>
      </c>
      <c r="AG96" s="73">
        <v>19.0</v>
      </c>
      <c r="AH96" s="76">
        <v>14.0</v>
      </c>
      <c r="AI96" s="77">
        <f t="shared" si="7"/>
        <v>1044</v>
      </c>
      <c r="AJ96" s="78">
        <f t="shared" si="8"/>
        <v>58.0625</v>
      </c>
      <c r="AK96" s="79">
        <f t="shared" si="9"/>
        <v>49.71428571</v>
      </c>
      <c r="AL96" s="80"/>
      <c r="AM96" s="81"/>
      <c r="AN96" s="68" t="s">
        <v>51</v>
      </c>
      <c r="AP96" s="82">
        <f t="shared" si="12"/>
        <v>60</v>
      </c>
    </row>
    <row r="97">
      <c r="A97" s="83">
        <v>45528.0</v>
      </c>
      <c r="B97" s="70">
        <f t="shared" si="11"/>
        <v>16</v>
      </c>
      <c r="C97" s="71">
        <v>34.0</v>
      </c>
      <c r="D97" s="66">
        <v>9.0</v>
      </c>
      <c r="E97" s="66">
        <v>114.0</v>
      </c>
      <c r="F97" s="66">
        <v>37.0</v>
      </c>
      <c r="G97" s="66">
        <v>13.0</v>
      </c>
      <c r="H97" s="66">
        <v>46.0</v>
      </c>
      <c r="I97" s="66">
        <v>55.0</v>
      </c>
      <c r="J97" s="66">
        <v>27.0</v>
      </c>
      <c r="K97" s="84">
        <v>24.0</v>
      </c>
      <c r="L97" s="66"/>
      <c r="M97" s="66"/>
      <c r="N97" s="66"/>
      <c r="O97" s="66"/>
      <c r="P97" s="66"/>
      <c r="Q97" s="67"/>
      <c r="R97" s="66">
        <v>15.0</v>
      </c>
      <c r="S97" s="66">
        <v>12.0</v>
      </c>
      <c r="T97" s="66"/>
      <c r="U97" s="66">
        <v>55.0</v>
      </c>
      <c r="V97" s="66">
        <v>14.0</v>
      </c>
      <c r="W97" s="66">
        <v>8.0</v>
      </c>
      <c r="X97" s="66">
        <v>49.0</v>
      </c>
      <c r="Y97" s="87">
        <v>18.0</v>
      </c>
      <c r="Z97" s="66"/>
      <c r="AA97" s="66"/>
      <c r="AB97" s="72"/>
      <c r="AC97" s="73">
        <v>15.0</v>
      </c>
      <c r="AD97" s="73"/>
      <c r="AE97" s="74">
        <v>26.0</v>
      </c>
      <c r="AF97" s="75">
        <v>13.0</v>
      </c>
      <c r="AG97" s="73">
        <v>21.0</v>
      </c>
      <c r="AH97" s="76">
        <v>9.0</v>
      </c>
      <c r="AI97" s="77">
        <f t="shared" si="7"/>
        <v>614</v>
      </c>
      <c r="AJ97" s="78">
        <f t="shared" si="8"/>
        <v>33.125</v>
      </c>
      <c r="AK97" s="79">
        <f t="shared" si="9"/>
        <v>29.23809524</v>
      </c>
      <c r="AL97" s="80"/>
      <c r="AM97" s="81"/>
      <c r="AP97" s="82">
        <f t="shared" si="12"/>
        <v>41</v>
      </c>
    </row>
    <row r="98">
      <c r="A98" s="83">
        <v>45521.0</v>
      </c>
      <c r="B98" s="70">
        <f t="shared" si="11"/>
        <v>15</v>
      </c>
      <c r="C98" s="71">
        <v>24.0</v>
      </c>
      <c r="D98" s="66">
        <v>16.0</v>
      </c>
      <c r="E98" s="66">
        <v>141.0</v>
      </c>
      <c r="F98" s="66">
        <v>35.0</v>
      </c>
      <c r="G98" s="66"/>
      <c r="H98" s="66">
        <v>39.0</v>
      </c>
      <c r="I98" s="66">
        <v>75.0</v>
      </c>
      <c r="J98" s="66">
        <v>29.0</v>
      </c>
      <c r="K98" s="84">
        <v>44.0</v>
      </c>
      <c r="L98" s="66"/>
      <c r="M98" s="66"/>
      <c r="N98" s="66"/>
      <c r="O98" s="66"/>
      <c r="P98" s="66"/>
      <c r="Q98" s="67"/>
      <c r="R98" s="66">
        <v>13.0</v>
      </c>
      <c r="S98" s="66">
        <v>26.0</v>
      </c>
      <c r="T98" s="66"/>
      <c r="U98" s="66">
        <v>39.0</v>
      </c>
      <c r="V98" s="66">
        <v>14.0</v>
      </c>
      <c r="W98" s="66">
        <v>7.0</v>
      </c>
      <c r="X98" s="66">
        <v>52.0</v>
      </c>
      <c r="Y98" s="87">
        <v>21.0</v>
      </c>
      <c r="Z98" s="66"/>
      <c r="AA98" s="66"/>
      <c r="AB98" s="72"/>
      <c r="AC98" s="73">
        <v>15.0</v>
      </c>
      <c r="AD98" s="73"/>
      <c r="AE98" s="74">
        <v>27.0</v>
      </c>
      <c r="AF98" s="75">
        <v>17.0</v>
      </c>
      <c r="AG98" s="73">
        <v>18.0</v>
      </c>
      <c r="AH98" s="76"/>
      <c r="AI98" s="77">
        <f t="shared" si="7"/>
        <v>652</v>
      </c>
      <c r="AJ98" s="78">
        <f t="shared" si="8"/>
        <v>38.33333333</v>
      </c>
      <c r="AK98" s="79">
        <f t="shared" si="9"/>
        <v>34.31578947</v>
      </c>
      <c r="AL98" s="80"/>
      <c r="AM98" s="81"/>
      <c r="AP98" s="82">
        <f t="shared" si="12"/>
        <v>42</v>
      </c>
    </row>
    <row r="99">
      <c r="A99" s="83">
        <v>45514.0</v>
      </c>
      <c r="B99" s="70">
        <f t="shared" si="11"/>
        <v>16</v>
      </c>
      <c r="C99" s="71">
        <v>22.0</v>
      </c>
      <c r="D99" s="66">
        <v>9.0</v>
      </c>
      <c r="E99" s="66">
        <v>134.0</v>
      </c>
      <c r="F99" s="66">
        <v>46.0</v>
      </c>
      <c r="G99" s="66">
        <v>15.0</v>
      </c>
      <c r="H99" s="66">
        <v>27.0</v>
      </c>
      <c r="I99" s="66">
        <v>100.0</v>
      </c>
      <c r="J99" s="66">
        <v>36.0</v>
      </c>
      <c r="K99" s="84">
        <v>28.0</v>
      </c>
      <c r="L99" s="66"/>
      <c r="M99" s="66"/>
      <c r="N99" s="66"/>
      <c r="O99" s="66"/>
      <c r="P99" s="66"/>
      <c r="Q99" s="67"/>
      <c r="R99" s="66">
        <v>10.0</v>
      </c>
      <c r="S99" s="66">
        <v>19.0</v>
      </c>
      <c r="T99" s="66"/>
      <c r="U99" s="66">
        <v>60.0</v>
      </c>
      <c r="V99" s="66">
        <v>17.0</v>
      </c>
      <c r="W99" s="66">
        <v>9.0</v>
      </c>
      <c r="X99" s="66">
        <v>68.0</v>
      </c>
      <c r="Y99" s="87">
        <v>17.0</v>
      </c>
      <c r="Z99" s="66"/>
      <c r="AA99" s="66"/>
      <c r="AB99" s="72"/>
      <c r="AC99" s="73">
        <v>12.0</v>
      </c>
      <c r="AD99" s="73"/>
      <c r="AE99" s="74">
        <v>25.0</v>
      </c>
      <c r="AF99" s="75">
        <v>21.0</v>
      </c>
      <c r="AG99" s="73">
        <v>21.0</v>
      </c>
      <c r="AH99" s="76"/>
      <c r="AI99" s="77">
        <f t="shared" si="7"/>
        <v>696</v>
      </c>
      <c r="AJ99" s="78">
        <f t="shared" si="8"/>
        <v>38.5625</v>
      </c>
      <c r="AK99" s="79">
        <f t="shared" si="9"/>
        <v>34.8</v>
      </c>
      <c r="AL99" s="80"/>
      <c r="AM99" s="81"/>
      <c r="AP99" s="82">
        <f t="shared" si="12"/>
        <v>37</v>
      </c>
    </row>
    <row r="100">
      <c r="A100" s="83">
        <v>45507.0</v>
      </c>
      <c r="B100" s="70">
        <f t="shared" si="11"/>
        <v>16</v>
      </c>
      <c r="C100" s="71">
        <v>26.0</v>
      </c>
      <c r="D100" s="66">
        <v>14.0</v>
      </c>
      <c r="E100" s="66">
        <v>85.0</v>
      </c>
      <c r="F100" s="66">
        <v>31.0</v>
      </c>
      <c r="G100" s="66">
        <v>15.0</v>
      </c>
      <c r="H100" s="66">
        <v>17.0</v>
      </c>
      <c r="I100" s="66">
        <v>57.0</v>
      </c>
      <c r="J100" s="66">
        <v>30.0</v>
      </c>
      <c r="K100" s="84">
        <v>168.0</v>
      </c>
      <c r="L100" s="66"/>
      <c r="M100" s="66"/>
      <c r="N100" s="66"/>
      <c r="O100" s="66"/>
      <c r="P100" s="66"/>
      <c r="Q100" s="67"/>
      <c r="R100" s="66">
        <v>11.0</v>
      </c>
      <c r="S100" s="66">
        <v>17.0</v>
      </c>
      <c r="T100" s="66"/>
      <c r="U100" s="66">
        <v>26.0</v>
      </c>
      <c r="V100" s="66">
        <v>16.0</v>
      </c>
      <c r="W100" s="66">
        <v>9.0</v>
      </c>
      <c r="X100" s="66">
        <v>52.0</v>
      </c>
      <c r="Y100" s="87">
        <v>21.0</v>
      </c>
      <c r="Z100" s="66"/>
      <c r="AA100" s="66"/>
      <c r="AB100" s="72"/>
      <c r="AC100" s="73">
        <v>9.0</v>
      </c>
      <c r="AD100" s="73"/>
      <c r="AE100" s="74">
        <v>23.0</v>
      </c>
      <c r="AF100" s="75">
        <v>17.0</v>
      </c>
      <c r="AG100" s="73">
        <v>18.0</v>
      </c>
      <c r="AH100" s="76"/>
      <c r="AI100" s="77">
        <f t="shared" si="7"/>
        <v>662</v>
      </c>
      <c r="AJ100" s="78">
        <f t="shared" si="8"/>
        <v>37.1875</v>
      </c>
      <c r="AK100" s="79">
        <f t="shared" si="9"/>
        <v>33.1</v>
      </c>
      <c r="AL100" s="80"/>
      <c r="AM100" s="81"/>
      <c r="AP100" s="82">
        <f t="shared" si="12"/>
        <v>32</v>
      </c>
    </row>
    <row r="101">
      <c r="A101" s="83">
        <v>45500.0</v>
      </c>
      <c r="B101" s="70">
        <f t="shared" si="11"/>
        <v>15</v>
      </c>
      <c r="C101" s="71">
        <v>34.0</v>
      </c>
      <c r="D101" s="66">
        <v>9.0</v>
      </c>
      <c r="E101" s="66">
        <v>523.0</v>
      </c>
      <c r="F101" s="66">
        <v>37.0</v>
      </c>
      <c r="G101" s="66">
        <v>11.0</v>
      </c>
      <c r="H101" s="66">
        <v>23.0</v>
      </c>
      <c r="I101" s="66">
        <v>49.0</v>
      </c>
      <c r="J101" s="66">
        <v>24.0</v>
      </c>
      <c r="K101" s="84"/>
      <c r="L101" s="66"/>
      <c r="M101" s="66"/>
      <c r="N101" s="66"/>
      <c r="O101" s="66"/>
      <c r="P101" s="66"/>
      <c r="Q101" s="67"/>
      <c r="R101" s="66">
        <v>18.0</v>
      </c>
      <c r="S101" s="66">
        <v>20.0</v>
      </c>
      <c r="T101" s="66"/>
      <c r="U101" s="66">
        <v>39.0</v>
      </c>
      <c r="V101" s="66">
        <v>18.0</v>
      </c>
      <c r="W101" s="66">
        <v>4.0</v>
      </c>
      <c r="X101" s="66">
        <v>55.0</v>
      </c>
      <c r="Y101" s="87">
        <v>21.0</v>
      </c>
      <c r="Z101" s="66"/>
      <c r="AA101" s="66"/>
      <c r="AB101" s="72"/>
      <c r="AC101" s="73">
        <v>20.0</v>
      </c>
      <c r="AD101" s="73"/>
      <c r="AE101" s="74">
        <v>14.0</v>
      </c>
      <c r="AF101" s="75">
        <v>25.0</v>
      </c>
      <c r="AG101" s="73">
        <v>23.0</v>
      </c>
      <c r="AH101" s="76"/>
      <c r="AI101" s="77">
        <f t="shared" si="7"/>
        <v>967</v>
      </c>
      <c r="AJ101" s="78">
        <f t="shared" si="8"/>
        <v>59</v>
      </c>
      <c r="AK101" s="79">
        <f t="shared" si="9"/>
        <v>50.89473684</v>
      </c>
      <c r="AL101" s="80"/>
      <c r="AM101" s="81"/>
      <c r="AP101" s="82">
        <f t="shared" si="12"/>
        <v>34</v>
      </c>
    </row>
    <row r="102">
      <c r="A102" s="83">
        <v>45493.0</v>
      </c>
      <c r="B102" s="70">
        <f t="shared" si="11"/>
        <v>15</v>
      </c>
      <c r="C102" s="71">
        <v>35.0</v>
      </c>
      <c r="D102" s="66">
        <v>14.0</v>
      </c>
      <c r="E102" s="66">
        <v>101.0</v>
      </c>
      <c r="F102" s="66">
        <v>28.0</v>
      </c>
      <c r="G102" s="66">
        <v>7.0</v>
      </c>
      <c r="H102" s="66">
        <v>35.0</v>
      </c>
      <c r="I102" s="66">
        <v>42.0</v>
      </c>
      <c r="J102" s="66">
        <v>16.0</v>
      </c>
      <c r="K102" s="84"/>
      <c r="L102" s="66"/>
      <c r="M102" s="66"/>
      <c r="N102" s="66"/>
      <c r="O102" s="66"/>
      <c r="P102" s="66"/>
      <c r="Q102" s="67"/>
      <c r="R102" s="66">
        <v>12.0</v>
      </c>
      <c r="S102" s="66">
        <v>15.0</v>
      </c>
      <c r="T102" s="66"/>
      <c r="U102" s="66">
        <v>37.0</v>
      </c>
      <c r="V102" s="66">
        <v>13.0</v>
      </c>
      <c r="W102" s="66">
        <v>4.0</v>
      </c>
      <c r="X102" s="66">
        <v>51.0</v>
      </c>
      <c r="Y102" s="87">
        <v>16.0</v>
      </c>
      <c r="Z102" s="66"/>
      <c r="AA102" s="66"/>
      <c r="AB102" s="72"/>
      <c r="AC102" s="73">
        <v>12.0</v>
      </c>
      <c r="AD102" s="73"/>
      <c r="AE102" s="74">
        <v>24.0</v>
      </c>
      <c r="AF102" s="75">
        <v>20.0</v>
      </c>
      <c r="AG102" s="73">
        <v>21.0</v>
      </c>
      <c r="AH102" s="76"/>
      <c r="AI102" s="77">
        <f t="shared" si="7"/>
        <v>503</v>
      </c>
      <c r="AJ102" s="78">
        <f t="shared" si="8"/>
        <v>28.4</v>
      </c>
      <c r="AK102" s="79">
        <f t="shared" si="9"/>
        <v>26.47368421</v>
      </c>
      <c r="AL102" s="80"/>
      <c r="AM102" s="81"/>
      <c r="AN102" s="88"/>
      <c r="AP102" s="82">
        <f t="shared" si="12"/>
        <v>36</v>
      </c>
    </row>
    <row r="103">
      <c r="A103" s="83">
        <v>45486.0</v>
      </c>
      <c r="B103" s="70">
        <f t="shared" si="11"/>
        <v>14</v>
      </c>
      <c r="C103" s="71">
        <v>20.0</v>
      </c>
      <c r="D103" s="66">
        <v>9.0</v>
      </c>
      <c r="E103" s="66">
        <v>256.0</v>
      </c>
      <c r="F103" s="66">
        <v>45.0</v>
      </c>
      <c r="G103" s="66">
        <v>13.0</v>
      </c>
      <c r="H103" s="66">
        <v>22.0</v>
      </c>
      <c r="I103" s="66">
        <v>57.0</v>
      </c>
      <c r="J103" s="66">
        <v>24.0</v>
      </c>
      <c r="K103" s="84"/>
      <c r="L103" s="66"/>
      <c r="M103" s="66"/>
      <c r="N103" s="66"/>
      <c r="O103" s="66"/>
      <c r="P103" s="66"/>
      <c r="Q103" s="67"/>
      <c r="R103" s="66">
        <v>13.0</v>
      </c>
      <c r="S103" s="66"/>
      <c r="T103" s="66"/>
      <c r="U103" s="66">
        <v>40.0</v>
      </c>
      <c r="V103" s="66">
        <v>17.0</v>
      </c>
      <c r="W103" s="66">
        <v>8.0</v>
      </c>
      <c r="X103" s="66">
        <v>74.0</v>
      </c>
      <c r="Y103" s="87">
        <v>20.0</v>
      </c>
      <c r="Z103" s="66"/>
      <c r="AA103" s="66"/>
      <c r="AB103" s="72"/>
      <c r="AC103" s="73">
        <v>11.0</v>
      </c>
      <c r="AD103" s="73"/>
      <c r="AE103" s="74">
        <v>20.0</v>
      </c>
      <c r="AF103" s="75">
        <v>16.0</v>
      </c>
      <c r="AG103" s="73">
        <v>14.0</v>
      </c>
      <c r="AH103" s="76"/>
      <c r="AI103" s="77">
        <f t="shared" si="7"/>
        <v>679</v>
      </c>
      <c r="AJ103" s="78">
        <f t="shared" si="8"/>
        <v>44.14285714</v>
      </c>
      <c r="AK103" s="79">
        <f t="shared" si="9"/>
        <v>37.72222222</v>
      </c>
      <c r="AL103" s="80"/>
      <c r="AM103" s="81"/>
      <c r="AP103" s="82">
        <f t="shared" si="12"/>
        <v>31</v>
      </c>
    </row>
    <row r="104">
      <c r="A104" s="83">
        <v>45479.0</v>
      </c>
      <c r="B104" s="70">
        <f t="shared" si="11"/>
        <v>12</v>
      </c>
      <c r="C104" s="71">
        <v>38.0</v>
      </c>
      <c r="D104" s="66">
        <v>7.0</v>
      </c>
      <c r="E104" s="66">
        <v>100.0</v>
      </c>
      <c r="F104" s="66">
        <v>38.0</v>
      </c>
      <c r="G104" s="66">
        <v>9.0</v>
      </c>
      <c r="H104" s="66">
        <v>34.0</v>
      </c>
      <c r="I104" s="66">
        <v>179.0</v>
      </c>
      <c r="J104" s="66"/>
      <c r="K104" s="84"/>
      <c r="L104" s="66"/>
      <c r="M104" s="66"/>
      <c r="N104" s="66"/>
      <c r="O104" s="66"/>
      <c r="P104" s="66"/>
      <c r="Q104" s="67"/>
      <c r="R104" s="66">
        <v>12.0</v>
      </c>
      <c r="S104" s="66">
        <v>25.0</v>
      </c>
      <c r="T104" s="66"/>
      <c r="U104" s="66">
        <v>44.0</v>
      </c>
      <c r="V104" s="66"/>
      <c r="W104" s="66">
        <v>5.0</v>
      </c>
      <c r="X104" s="66"/>
      <c r="Y104" s="87">
        <v>13.0</v>
      </c>
      <c r="Z104" s="66"/>
      <c r="AA104" s="66"/>
      <c r="AB104" s="72"/>
      <c r="AC104" s="73">
        <v>7.0</v>
      </c>
      <c r="AD104" s="73"/>
      <c r="AE104" s="74">
        <v>20.0</v>
      </c>
      <c r="AF104" s="75">
        <v>16.0</v>
      </c>
      <c r="AG104" s="73">
        <v>16.0</v>
      </c>
      <c r="AH104" s="76"/>
      <c r="AI104" s="77">
        <f t="shared" si="7"/>
        <v>563</v>
      </c>
      <c r="AJ104" s="78">
        <f t="shared" si="8"/>
        <v>42</v>
      </c>
      <c r="AK104" s="79">
        <f t="shared" si="9"/>
        <v>35.1875</v>
      </c>
      <c r="AL104" s="80"/>
      <c r="AM104" s="81"/>
      <c r="AP104" s="82">
        <f t="shared" si="12"/>
        <v>27</v>
      </c>
    </row>
    <row r="105">
      <c r="A105" s="83">
        <v>45472.0</v>
      </c>
      <c r="B105" s="70">
        <f t="shared" si="11"/>
        <v>15</v>
      </c>
      <c r="C105" s="71">
        <v>33.0</v>
      </c>
      <c r="D105" s="66">
        <v>12.0</v>
      </c>
      <c r="E105" s="66">
        <v>86.0</v>
      </c>
      <c r="F105" s="66">
        <v>34.0</v>
      </c>
      <c r="G105" s="66">
        <v>11.0</v>
      </c>
      <c r="H105" s="66">
        <v>34.0</v>
      </c>
      <c r="I105" s="66">
        <v>58.0</v>
      </c>
      <c r="J105" s="66">
        <v>20.0</v>
      </c>
      <c r="K105" s="84"/>
      <c r="L105" s="66"/>
      <c r="M105" s="66"/>
      <c r="N105" s="66"/>
      <c r="O105" s="66"/>
      <c r="P105" s="66"/>
      <c r="Q105" s="67"/>
      <c r="R105" s="66">
        <v>8.0</v>
      </c>
      <c r="S105" s="66">
        <v>17.0</v>
      </c>
      <c r="T105" s="66"/>
      <c r="U105" s="66">
        <v>44.0</v>
      </c>
      <c r="V105" s="66">
        <v>21.0</v>
      </c>
      <c r="W105" s="66">
        <v>6.0</v>
      </c>
      <c r="X105" s="66">
        <v>41.0</v>
      </c>
      <c r="Y105" s="87">
        <v>16.0</v>
      </c>
      <c r="Z105" s="66"/>
      <c r="AA105" s="66"/>
      <c r="AB105" s="72"/>
      <c r="AC105" s="73">
        <v>16.0</v>
      </c>
      <c r="AD105" s="73"/>
      <c r="AE105" s="74">
        <v>15.0</v>
      </c>
      <c r="AF105" s="75">
        <v>17.0</v>
      </c>
      <c r="AG105" s="73">
        <v>19.0</v>
      </c>
      <c r="AH105" s="76"/>
      <c r="AI105" s="77">
        <f t="shared" si="7"/>
        <v>508</v>
      </c>
      <c r="AJ105" s="78">
        <f t="shared" si="8"/>
        <v>29.4</v>
      </c>
      <c r="AK105" s="79">
        <f t="shared" si="9"/>
        <v>26.73684211</v>
      </c>
      <c r="AL105" s="80"/>
      <c r="AM105" s="81"/>
      <c r="AP105" s="82">
        <f t="shared" si="12"/>
        <v>31</v>
      </c>
    </row>
    <row r="106">
      <c r="A106" s="83">
        <v>45465.0</v>
      </c>
      <c r="B106" s="70">
        <f t="shared" si="11"/>
        <v>13</v>
      </c>
      <c r="C106" s="71">
        <v>43.0</v>
      </c>
      <c r="D106" s="66">
        <v>7.0</v>
      </c>
      <c r="E106" s="66">
        <v>126.0</v>
      </c>
      <c r="F106" s="66">
        <v>51.0</v>
      </c>
      <c r="G106" s="66">
        <v>9.0</v>
      </c>
      <c r="H106" s="66">
        <v>50.0</v>
      </c>
      <c r="I106" s="66">
        <v>70.0</v>
      </c>
      <c r="J106" s="66">
        <v>36.0</v>
      </c>
      <c r="K106" s="84"/>
      <c r="L106" s="66"/>
      <c r="M106" s="66"/>
      <c r="N106" s="66"/>
      <c r="O106" s="66"/>
      <c r="P106" s="66"/>
      <c r="Q106" s="67"/>
      <c r="R106" s="66">
        <v>11.0</v>
      </c>
      <c r="S106" s="66"/>
      <c r="T106" s="66"/>
      <c r="U106" s="66">
        <v>44.0</v>
      </c>
      <c r="V106" s="66">
        <v>29.0</v>
      </c>
      <c r="W106" s="66"/>
      <c r="X106" s="66">
        <v>57.0</v>
      </c>
      <c r="Y106" s="87">
        <v>17.0</v>
      </c>
      <c r="Z106" s="66"/>
      <c r="AA106" s="66"/>
      <c r="AB106" s="72"/>
      <c r="AC106" s="73">
        <v>11.0</v>
      </c>
      <c r="AD106" s="73"/>
      <c r="AE106" s="74">
        <v>22.0</v>
      </c>
      <c r="AF106" s="75">
        <v>14.0</v>
      </c>
      <c r="AG106" s="73">
        <v>14.0</v>
      </c>
      <c r="AH106" s="76"/>
      <c r="AI106" s="77">
        <f t="shared" si="7"/>
        <v>611</v>
      </c>
      <c r="AJ106" s="78">
        <f t="shared" si="8"/>
        <v>42.30769231</v>
      </c>
      <c r="AK106" s="79">
        <f t="shared" si="9"/>
        <v>35.94117647</v>
      </c>
      <c r="AL106" s="80"/>
      <c r="AM106" s="81"/>
      <c r="AP106" s="82">
        <f t="shared" si="12"/>
        <v>33</v>
      </c>
    </row>
    <row r="107">
      <c r="A107" s="83">
        <v>45458.0</v>
      </c>
      <c r="B107" s="70">
        <f t="shared" si="11"/>
        <v>13</v>
      </c>
      <c r="C107" s="71">
        <v>39.0</v>
      </c>
      <c r="D107" s="66">
        <v>10.0</v>
      </c>
      <c r="E107" s="66">
        <v>207.0</v>
      </c>
      <c r="F107" s="66">
        <v>36.0</v>
      </c>
      <c r="G107" s="66">
        <v>13.0</v>
      </c>
      <c r="H107" s="66">
        <v>35.0</v>
      </c>
      <c r="I107" s="66">
        <v>55.0</v>
      </c>
      <c r="J107" s="66">
        <v>41.0</v>
      </c>
      <c r="K107" s="84"/>
      <c r="L107" s="66"/>
      <c r="M107" s="66"/>
      <c r="N107" s="66"/>
      <c r="O107" s="66"/>
      <c r="P107" s="66"/>
      <c r="Q107" s="67"/>
      <c r="R107" s="66">
        <v>17.0</v>
      </c>
      <c r="S107" s="66"/>
      <c r="T107" s="66"/>
      <c r="U107" s="66">
        <v>38.0</v>
      </c>
      <c r="V107" s="66">
        <v>19.0</v>
      </c>
      <c r="W107" s="66"/>
      <c r="X107" s="66">
        <v>94.0</v>
      </c>
      <c r="Y107" s="87">
        <v>20.0</v>
      </c>
      <c r="Z107" s="66"/>
      <c r="AA107" s="66"/>
      <c r="AB107" s="72"/>
      <c r="AC107" s="73">
        <v>14.0</v>
      </c>
      <c r="AD107" s="73"/>
      <c r="AE107" s="74">
        <v>27.0</v>
      </c>
      <c r="AF107" s="75">
        <v>26.0</v>
      </c>
      <c r="AG107" s="73">
        <v>23.0</v>
      </c>
      <c r="AH107" s="76"/>
      <c r="AI107" s="77">
        <f t="shared" si="7"/>
        <v>714</v>
      </c>
      <c r="AJ107" s="78">
        <f t="shared" si="8"/>
        <v>48</v>
      </c>
      <c r="AK107" s="79">
        <f t="shared" si="9"/>
        <v>42</v>
      </c>
      <c r="AL107" s="80"/>
      <c r="AM107" s="81"/>
      <c r="AP107" s="82">
        <f t="shared" si="12"/>
        <v>41</v>
      </c>
    </row>
    <row r="108">
      <c r="A108" s="83">
        <v>45451.0</v>
      </c>
      <c r="B108" s="70">
        <f t="shared" si="11"/>
        <v>14</v>
      </c>
      <c r="C108" s="71">
        <v>37.0</v>
      </c>
      <c r="D108" s="66">
        <v>10.0</v>
      </c>
      <c r="E108" s="66">
        <v>126.0</v>
      </c>
      <c r="F108" s="66">
        <v>54.0</v>
      </c>
      <c r="G108" s="66">
        <v>11.0</v>
      </c>
      <c r="H108" s="66">
        <v>51.0</v>
      </c>
      <c r="I108" s="66">
        <v>56.0</v>
      </c>
      <c r="J108" s="66">
        <v>44.0</v>
      </c>
      <c r="K108" s="84"/>
      <c r="L108" s="66"/>
      <c r="M108" s="66"/>
      <c r="N108" s="66"/>
      <c r="O108" s="66"/>
      <c r="P108" s="66"/>
      <c r="Q108" s="67"/>
      <c r="R108" s="66">
        <v>11.0</v>
      </c>
      <c r="S108" s="66"/>
      <c r="T108" s="66"/>
      <c r="U108" s="66">
        <v>35.0</v>
      </c>
      <c r="V108" s="66">
        <v>23.0</v>
      </c>
      <c r="W108" s="66">
        <v>4.0</v>
      </c>
      <c r="X108" s="66">
        <v>69.0</v>
      </c>
      <c r="Y108" s="87">
        <v>17.0</v>
      </c>
      <c r="Z108" s="66"/>
      <c r="AA108" s="66"/>
      <c r="AB108" s="72"/>
      <c r="AC108" s="73">
        <v>17.0</v>
      </c>
      <c r="AD108" s="73"/>
      <c r="AE108" s="74">
        <v>24.0</v>
      </c>
      <c r="AF108" s="75">
        <v>28.0</v>
      </c>
      <c r="AG108" s="73">
        <v>28.0</v>
      </c>
      <c r="AH108" s="76">
        <v>228.0</v>
      </c>
      <c r="AI108" s="77">
        <f t="shared" si="7"/>
        <v>873</v>
      </c>
      <c r="AJ108" s="78">
        <f t="shared" si="8"/>
        <v>39.14285714</v>
      </c>
      <c r="AK108" s="79">
        <f t="shared" si="9"/>
        <v>45.94736842</v>
      </c>
      <c r="AL108" s="80"/>
      <c r="AM108" s="81"/>
      <c r="AP108" s="82">
        <f t="shared" si="12"/>
        <v>41</v>
      </c>
    </row>
    <row r="109">
      <c r="A109" s="83">
        <v>45444.0</v>
      </c>
      <c r="B109" s="70">
        <f t="shared" si="11"/>
        <v>13</v>
      </c>
      <c r="C109" s="71">
        <v>41.0</v>
      </c>
      <c r="D109" s="66">
        <v>10.0</v>
      </c>
      <c r="E109" s="66">
        <v>117.0</v>
      </c>
      <c r="F109" s="66">
        <v>36.0</v>
      </c>
      <c r="G109" s="66">
        <v>20.0</v>
      </c>
      <c r="H109" s="66">
        <v>55.0</v>
      </c>
      <c r="I109" s="66">
        <v>128.0</v>
      </c>
      <c r="J109" s="66">
        <v>39.0</v>
      </c>
      <c r="K109" s="84"/>
      <c r="L109" s="66"/>
      <c r="M109" s="66"/>
      <c r="N109" s="66"/>
      <c r="O109" s="66"/>
      <c r="P109" s="66"/>
      <c r="Q109" s="67"/>
      <c r="R109" s="66">
        <v>22.0</v>
      </c>
      <c r="S109" s="66"/>
      <c r="T109" s="66"/>
      <c r="U109" s="66">
        <v>35.0</v>
      </c>
      <c r="V109" s="66">
        <v>13.0</v>
      </c>
      <c r="W109" s="66"/>
      <c r="X109" s="66">
        <v>47.0</v>
      </c>
      <c r="Y109" s="87">
        <v>14.0</v>
      </c>
      <c r="Z109" s="66"/>
      <c r="AA109" s="66"/>
      <c r="AB109" s="72"/>
      <c r="AC109" s="73">
        <v>21.0</v>
      </c>
      <c r="AD109" s="73"/>
      <c r="AE109" s="74">
        <v>29.0</v>
      </c>
      <c r="AF109" s="75">
        <v>26.0</v>
      </c>
      <c r="AG109" s="73">
        <v>28.0</v>
      </c>
      <c r="AH109" s="76"/>
      <c r="AI109" s="77">
        <f t="shared" si="7"/>
        <v>681</v>
      </c>
      <c r="AJ109" s="78">
        <f t="shared" si="8"/>
        <v>44.38461538</v>
      </c>
      <c r="AK109" s="79">
        <f t="shared" si="9"/>
        <v>40.05882353</v>
      </c>
      <c r="AL109" s="80"/>
      <c r="AM109" s="81"/>
      <c r="AP109" s="82">
        <f t="shared" si="12"/>
        <v>50</v>
      </c>
    </row>
    <row r="110">
      <c r="A110" s="83">
        <v>45437.0</v>
      </c>
      <c r="B110" s="70">
        <f t="shared" si="11"/>
        <v>13</v>
      </c>
      <c r="C110" s="71">
        <v>30.0</v>
      </c>
      <c r="D110" s="66">
        <v>6.0</v>
      </c>
      <c r="E110" s="66">
        <v>157.0</v>
      </c>
      <c r="F110" s="66">
        <v>50.0</v>
      </c>
      <c r="G110" s="66">
        <v>9.0</v>
      </c>
      <c r="H110" s="66">
        <v>38.0</v>
      </c>
      <c r="I110" s="66">
        <v>76.0</v>
      </c>
      <c r="J110" s="66">
        <v>535.0</v>
      </c>
      <c r="K110" s="84"/>
      <c r="L110" s="66"/>
      <c r="M110" s="66"/>
      <c r="N110" s="66"/>
      <c r="O110" s="66"/>
      <c r="P110" s="66"/>
      <c r="Q110" s="67"/>
      <c r="R110" s="66">
        <v>35.0</v>
      </c>
      <c r="S110" s="66"/>
      <c r="T110" s="66"/>
      <c r="U110" s="66">
        <v>44.0</v>
      </c>
      <c r="V110" s="66">
        <v>12.0</v>
      </c>
      <c r="W110" s="66"/>
      <c r="X110" s="66">
        <v>30.0</v>
      </c>
      <c r="Y110" s="87">
        <v>24.0</v>
      </c>
      <c r="Z110" s="66"/>
      <c r="AA110" s="66"/>
      <c r="AB110" s="72"/>
      <c r="AC110" s="73">
        <v>10.0</v>
      </c>
      <c r="AD110" s="73"/>
      <c r="AE110" s="74">
        <v>15.0</v>
      </c>
      <c r="AF110" s="75">
        <v>25.0</v>
      </c>
      <c r="AG110" s="73">
        <v>19.0</v>
      </c>
      <c r="AH110" s="76"/>
      <c r="AI110" s="77">
        <f t="shared" si="7"/>
        <v>1115</v>
      </c>
      <c r="AJ110" s="78">
        <f t="shared" si="8"/>
        <v>80.46153846</v>
      </c>
      <c r="AK110" s="79">
        <f t="shared" si="9"/>
        <v>65.58823529</v>
      </c>
      <c r="AL110" s="80"/>
      <c r="AM110" s="81"/>
      <c r="AN110" s="68" t="s">
        <v>61</v>
      </c>
      <c r="AP110" s="82">
        <f t="shared" si="12"/>
        <v>25</v>
      </c>
    </row>
    <row r="111">
      <c r="A111" s="83">
        <v>45430.0</v>
      </c>
      <c r="B111" s="70">
        <f t="shared" si="11"/>
        <v>14</v>
      </c>
      <c r="C111" s="71">
        <v>74.0</v>
      </c>
      <c r="D111" s="66">
        <v>11.0</v>
      </c>
      <c r="E111" s="66">
        <v>164.0</v>
      </c>
      <c r="F111" s="66">
        <v>47.0</v>
      </c>
      <c r="G111" s="66">
        <v>13.0</v>
      </c>
      <c r="H111" s="66">
        <v>43.0</v>
      </c>
      <c r="I111" s="66">
        <v>59.0</v>
      </c>
      <c r="J111" s="66">
        <v>30.0</v>
      </c>
      <c r="K111" s="84"/>
      <c r="L111" s="66"/>
      <c r="M111" s="66"/>
      <c r="N111" s="66"/>
      <c r="O111" s="66"/>
      <c r="P111" s="66"/>
      <c r="Q111" s="67"/>
      <c r="R111" s="66">
        <v>12.0</v>
      </c>
      <c r="S111" s="66"/>
      <c r="T111" s="66"/>
      <c r="U111" s="66">
        <v>49.0</v>
      </c>
      <c r="V111" s="66">
        <v>21.0</v>
      </c>
      <c r="W111" s="66">
        <v>9.0</v>
      </c>
      <c r="X111" s="66">
        <v>86.0</v>
      </c>
      <c r="Y111" s="87">
        <v>20.0</v>
      </c>
      <c r="Z111" s="66"/>
      <c r="AA111" s="66"/>
      <c r="AB111" s="72"/>
      <c r="AC111" s="73">
        <v>6.0</v>
      </c>
      <c r="AD111" s="73"/>
      <c r="AE111" s="74">
        <v>15.0</v>
      </c>
      <c r="AF111" s="75">
        <v>25.0</v>
      </c>
      <c r="AG111" s="73">
        <v>17.0</v>
      </c>
      <c r="AH111" s="76"/>
      <c r="AI111" s="77">
        <f t="shared" si="7"/>
        <v>701</v>
      </c>
      <c r="AJ111" s="78">
        <f t="shared" si="8"/>
        <v>45.57142857</v>
      </c>
      <c r="AK111" s="79">
        <f t="shared" si="9"/>
        <v>38.94444444</v>
      </c>
      <c r="AL111" s="80"/>
      <c r="AM111" s="81"/>
      <c r="AP111" s="82">
        <f t="shared" si="12"/>
        <v>21</v>
      </c>
    </row>
    <row r="112">
      <c r="A112" s="83">
        <v>45423.0</v>
      </c>
      <c r="B112" s="70">
        <f t="shared" si="11"/>
        <v>13</v>
      </c>
      <c r="C112" s="71">
        <v>22.0</v>
      </c>
      <c r="D112" s="66">
        <v>8.0</v>
      </c>
      <c r="E112" s="66">
        <v>77.0</v>
      </c>
      <c r="F112" s="66">
        <v>40.0</v>
      </c>
      <c r="G112" s="66">
        <v>9.0</v>
      </c>
      <c r="H112" s="66">
        <v>20.0</v>
      </c>
      <c r="I112" s="66">
        <v>36.0</v>
      </c>
      <c r="J112" s="66">
        <v>19.0</v>
      </c>
      <c r="K112" s="84"/>
      <c r="L112" s="66"/>
      <c r="M112" s="66"/>
      <c r="N112" s="66"/>
      <c r="O112" s="66"/>
      <c r="P112" s="66"/>
      <c r="Q112" s="67"/>
      <c r="R112" s="66">
        <v>9.0</v>
      </c>
      <c r="S112" s="66"/>
      <c r="T112" s="66"/>
      <c r="U112" s="66">
        <v>40.0</v>
      </c>
      <c r="V112" s="66"/>
      <c r="W112" s="66">
        <v>7.0</v>
      </c>
      <c r="X112" s="66">
        <v>53.0</v>
      </c>
      <c r="Y112" s="87">
        <v>6.0</v>
      </c>
      <c r="Z112" s="66"/>
      <c r="AA112" s="66"/>
      <c r="AB112" s="72"/>
      <c r="AC112" s="73">
        <v>13.0</v>
      </c>
      <c r="AD112" s="73"/>
      <c r="AE112" s="74">
        <v>11.0</v>
      </c>
      <c r="AF112" s="75">
        <v>29.0</v>
      </c>
      <c r="AG112" s="73">
        <v>25.0</v>
      </c>
      <c r="AH112" s="76"/>
      <c r="AI112" s="77">
        <f t="shared" si="7"/>
        <v>424</v>
      </c>
      <c r="AJ112" s="78">
        <f t="shared" si="8"/>
        <v>26.61538462</v>
      </c>
      <c r="AK112" s="79">
        <f t="shared" si="9"/>
        <v>24.94117647</v>
      </c>
      <c r="AL112" s="80"/>
      <c r="AM112" s="81"/>
      <c r="AP112" s="82">
        <f t="shared" si="12"/>
        <v>24</v>
      </c>
    </row>
    <row r="113">
      <c r="A113" s="83">
        <v>45416.0</v>
      </c>
      <c r="B113" s="70">
        <f t="shared" si="11"/>
        <v>14</v>
      </c>
      <c r="C113" s="71">
        <v>35.0</v>
      </c>
      <c r="D113" s="66">
        <v>9.0</v>
      </c>
      <c r="E113" s="66">
        <v>138.0</v>
      </c>
      <c r="F113" s="66">
        <v>55.0</v>
      </c>
      <c r="G113" s="66">
        <v>19.0</v>
      </c>
      <c r="H113" s="66">
        <v>32.0</v>
      </c>
      <c r="I113" s="66">
        <v>65.0</v>
      </c>
      <c r="J113" s="66">
        <v>21.0</v>
      </c>
      <c r="K113" s="84"/>
      <c r="L113" s="66"/>
      <c r="M113" s="66"/>
      <c r="N113" s="66"/>
      <c r="O113" s="66"/>
      <c r="P113" s="66"/>
      <c r="Q113" s="67"/>
      <c r="R113" s="66">
        <v>12.0</v>
      </c>
      <c r="S113" s="66"/>
      <c r="T113" s="66"/>
      <c r="U113" s="66">
        <v>66.0</v>
      </c>
      <c r="V113" s="66">
        <v>14.0</v>
      </c>
      <c r="W113" s="66">
        <v>5.0</v>
      </c>
      <c r="X113" s="66">
        <v>77.0</v>
      </c>
      <c r="Y113" s="87">
        <v>23.0</v>
      </c>
      <c r="Z113" s="66"/>
      <c r="AA113" s="66"/>
      <c r="AB113" s="72"/>
      <c r="AC113" s="73">
        <v>18.0</v>
      </c>
      <c r="AD113" s="73"/>
      <c r="AE113" s="74">
        <v>21.0</v>
      </c>
      <c r="AF113" s="75">
        <v>18.0</v>
      </c>
      <c r="AG113" s="73">
        <v>23.0</v>
      </c>
      <c r="AH113" s="76"/>
      <c r="AI113" s="77">
        <f t="shared" si="7"/>
        <v>651</v>
      </c>
      <c r="AJ113" s="78">
        <f t="shared" si="8"/>
        <v>40.78571429</v>
      </c>
      <c r="AK113" s="79">
        <f t="shared" si="9"/>
        <v>36.16666667</v>
      </c>
      <c r="AL113" s="80"/>
      <c r="AM113" s="81"/>
      <c r="AP113" s="82">
        <f t="shared" si="12"/>
        <v>39</v>
      </c>
    </row>
    <row r="114">
      <c r="A114" s="83">
        <v>45409.0</v>
      </c>
      <c r="B114" s="70">
        <f t="shared" si="11"/>
        <v>10</v>
      </c>
      <c r="C114" s="71">
        <v>27.0</v>
      </c>
      <c r="D114" s="66">
        <v>7.0</v>
      </c>
      <c r="E114" s="66">
        <v>73.0</v>
      </c>
      <c r="F114" s="66">
        <v>22.0</v>
      </c>
      <c r="G114" s="66">
        <v>5.0</v>
      </c>
      <c r="H114" s="66">
        <v>22.0</v>
      </c>
      <c r="I114" s="66">
        <v>46.0</v>
      </c>
      <c r="J114" s="66">
        <v>11.0</v>
      </c>
      <c r="K114" s="84"/>
      <c r="L114" s="66"/>
      <c r="M114" s="66"/>
      <c r="N114" s="66"/>
      <c r="O114" s="66"/>
      <c r="P114" s="66"/>
      <c r="Q114" s="67"/>
      <c r="R114" s="66"/>
      <c r="S114" s="66"/>
      <c r="T114" s="66"/>
      <c r="U114" s="66">
        <v>21.0</v>
      </c>
      <c r="V114" s="66"/>
      <c r="W114" s="66"/>
      <c r="X114" s="66"/>
      <c r="Y114" s="87">
        <v>7.0</v>
      </c>
      <c r="Z114" s="66"/>
      <c r="AA114" s="66"/>
      <c r="AB114" s="72"/>
      <c r="AC114" s="73">
        <v>13.0</v>
      </c>
      <c r="AD114" s="73"/>
      <c r="AE114" s="74">
        <v>20.0</v>
      </c>
      <c r="AF114" s="75">
        <v>29.0</v>
      </c>
      <c r="AG114" s="73">
        <v>12.0</v>
      </c>
      <c r="AH114" s="76"/>
      <c r="AI114" s="77">
        <f t="shared" si="7"/>
        <v>315</v>
      </c>
      <c r="AJ114" s="78">
        <f t="shared" si="8"/>
        <v>24.1</v>
      </c>
      <c r="AK114" s="79">
        <f t="shared" si="9"/>
        <v>22.5</v>
      </c>
      <c r="AL114" s="80"/>
      <c r="AM114" s="81"/>
      <c r="AN114" s="68" t="s">
        <v>50</v>
      </c>
    </row>
    <row r="115">
      <c r="A115" s="83">
        <v>45402.0</v>
      </c>
      <c r="B115" s="70">
        <f t="shared" si="11"/>
        <v>13</v>
      </c>
      <c r="C115" s="71">
        <v>32.0</v>
      </c>
      <c r="D115" s="66">
        <v>11.0</v>
      </c>
      <c r="E115" s="66">
        <v>205.0</v>
      </c>
      <c r="F115" s="66">
        <v>39.0</v>
      </c>
      <c r="G115" s="66">
        <v>45.0</v>
      </c>
      <c r="H115" s="66">
        <v>53.0</v>
      </c>
      <c r="I115" s="66">
        <v>80.0</v>
      </c>
      <c r="J115" s="66">
        <v>25.0</v>
      </c>
      <c r="K115" s="84"/>
      <c r="L115" s="66"/>
      <c r="M115" s="66"/>
      <c r="N115" s="66"/>
      <c r="O115" s="66"/>
      <c r="P115" s="66"/>
      <c r="Q115" s="67"/>
      <c r="R115" s="66"/>
      <c r="S115" s="66"/>
      <c r="T115" s="66"/>
      <c r="U115" s="66">
        <v>35.0</v>
      </c>
      <c r="V115" s="66">
        <v>21.0</v>
      </c>
      <c r="W115" s="66">
        <v>304.0</v>
      </c>
      <c r="X115" s="66">
        <v>56.0</v>
      </c>
      <c r="Y115" s="87">
        <v>20.0</v>
      </c>
      <c r="Z115" s="66"/>
      <c r="AA115" s="66"/>
      <c r="AB115" s="72"/>
      <c r="AC115" s="73">
        <v>19.0</v>
      </c>
      <c r="AD115" s="73"/>
      <c r="AE115" s="74">
        <v>23.0</v>
      </c>
      <c r="AF115" s="75">
        <v>19.0</v>
      </c>
      <c r="AG115" s="73">
        <v>19.0</v>
      </c>
      <c r="AH115" s="76"/>
      <c r="AI115" s="77">
        <f t="shared" si="7"/>
        <v>1006</v>
      </c>
      <c r="AJ115" s="78">
        <f t="shared" si="8"/>
        <v>71.23076923</v>
      </c>
      <c r="AK115" s="79">
        <f t="shared" si="9"/>
        <v>59.17647059</v>
      </c>
      <c r="AL115" s="80"/>
      <c r="AM115" s="81"/>
    </row>
    <row r="116">
      <c r="A116" s="83">
        <v>45395.0</v>
      </c>
      <c r="B116" s="70">
        <f t="shared" si="11"/>
        <v>13</v>
      </c>
      <c r="C116" s="71">
        <v>44.0</v>
      </c>
      <c r="D116" s="66">
        <v>10.0</v>
      </c>
      <c r="E116" s="66">
        <v>118.0</v>
      </c>
      <c r="F116" s="66">
        <v>45.0</v>
      </c>
      <c r="G116" s="66">
        <v>24.0</v>
      </c>
      <c r="H116" s="66">
        <v>36.0</v>
      </c>
      <c r="I116" s="66">
        <v>38.0</v>
      </c>
      <c r="J116" s="66">
        <v>30.0</v>
      </c>
      <c r="K116" s="84"/>
      <c r="L116" s="66"/>
      <c r="M116" s="66"/>
      <c r="N116" s="66"/>
      <c r="O116" s="66"/>
      <c r="P116" s="66"/>
      <c r="Q116" s="67"/>
      <c r="R116" s="66"/>
      <c r="S116" s="66"/>
      <c r="T116" s="66"/>
      <c r="U116" s="66">
        <v>36.0</v>
      </c>
      <c r="V116" s="66">
        <v>19.0</v>
      </c>
      <c r="W116" s="66">
        <v>8.0</v>
      </c>
      <c r="X116" s="66">
        <v>109.0</v>
      </c>
      <c r="Y116" s="87">
        <v>33.0</v>
      </c>
      <c r="Z116" s="66"/>
      <c r="AA116" s="66"/>
      <c r="AB116" s="72"/>
      <c r="AC116" s="73">
        <v>16.0</v>
      </c>
      <c r="AD116" s="73"/>
      <c r="AE116" s="74">
        <v>28.0</v>
      </c>
      <c r="AF116" s="75">
        <v>19.0</v>
      </c>
      <c r="AG116" s="73">
        <v>19.0</v>
      </c>
      <c r="AH116" s="76"/>
      <c r="AI116" s="77">
        <f t="shared" si="7"/>
        <v>632</v>
      </c>
      <c r="AJ116" s="78">
        <f t="shared" si="8"/>
        <v>42.30769231</v>
      </c>
      <c r="AK116" s="79">
        <f t="shared" si="9"/>
        <v>37.17647059</v>
      </c>
      <c r="AL116" s="80"/>
      <c r="AM116" s="81"/>
    </row>
    <row r="117">
      <c r="A117" s="83">
        <v>45388.0</v>
      </c>
      <c r="B117" s="70">
        <f t="shared" si="11"/>
        <v>13</v>
      </c>
      <c r="C117" s="71">
        <v>40.0</v>
      </c>
      <c r="D117" s="66">
        <v>12.0</v>
      </c>
      <c r="E117" s="66">
        <v>124.0</v>
      </c>
      <c r="F117" s="66">
        <v>44.0</v>
      </c>
      <c r="G117" s="66">
        <v>17.0</v>
      </c>
      <c r="H117" s="66">
        <v>30.0</v>
      </c>
      <c r="I117" s="66">
        <v>40.0</v>
      </c>
      <c r="J117" s="66">
        <v>17.0</v>
      </c>
      <c r="K117" s="84"/>
      <c r="L117" s="66"/>
      <c r="M117" s="66"/>
      <c r="N117" s="66"/>
      <c r="O117" s="66"/>
      <c r="P117" s="66"/>
      <c r="Q117" s="67"/>
      <c r="R117" s="66"/>
      <c r="S117" s="66"/>
      <c r="T117" s="66"/>
      <c r="U117" s="66">
        <v>23.0</v>
      </c>
      <c r="V117" s="66">
        <v>23.0</v>
      </c>
      <c r="W117" s="66">
        <v>12.0</v>
      </c>
      <c r="X117" s="66">
        <v>86.0</v>
      </c>
      <c r="Y117" s="87">
        <v>23.0</v>
      </c>
      <c r="Z117" s="66"/>
      <c r="AA117" s="66"/>
      <c r="AB117" s="72"/>
      <c r="AC117" s="73">
        <v>18.0</v>
      </c>
      <c r="AD117" s="73"/>
      <c r="AE117" s="74">
        <v>23.0</v>
      </c>
      <c r="AF117" s="75">
        <v>22.0</v>
      </c>
      <c r="AG117" s="73">
        <v>28.0</v>
      </c>
      <c r="AH117" s="76"/>
      <c r="AI117" s="77">
        <f t="shared" si="7"/>
        <v>582</v>
      </c>
      <c r="AJ117" s="78">
        <f t="shared" si="8"/>
        <v>37.76923077</v>
      </c>
      <c r="AK117" s="79">
        <f t="shared" si="9"/>
        <v>34.23529412</v>
      </c>
      <c r="AL117" s="80"/>
      <c r="AM117" s="81"/>
    </row>
    <row r="118">
      <c r="A118" s="83">
        <v>45381.0</v>
      </c>
      <c r="B118" s="70">
        <f t="shared" si="11"/>
        <v>13</v>
      </c>
      <c r="C118" s="71">
        <v>32.0</v>
      </c>
      <c r="D118" s="66">
        <v>12.0</v>
      </c>
      <c r="E118" s="66">
        <v>147.0</v>
      </c>
      <c r="F118" s="66">
        <v>35.0</v>
      </c>
      <c r="G118" s="66">
        <v>22.0</v>
      </c>
      <c r="H118" s="66">
        <v>41.0</v>
      </c>
      <c r="I118" s="66">
        <v>46.0</v>
      </c>
      <c r="J118" s="66">
        <v>29.0</v>
      </c>
      <c r="K118" s="84"/>
      <c r="L118" s="66"/>
      <c r="M118" s="66"/>
      <c r="N118" s="66"/>
      <c r="O118" s="66"/>
      <c r="P118" s="66"/>
      <c r="Q118" s="67"/>
      <c r="R118" s="66"/>
      <c r="S118" s="66"/>
      <c r="T118" s="66"/>
      <c r="U118" s="66">
        <v>32.0</v>
      </c>
      <c r="V118" s="66">
        <v>24.0</v>
      </c>
      <c r="W118" s="66">
        <v>8.0</v>
      </c>
      <c r="X118" s="66">
        <v>63.0</v>
      </c>
      <c r="Y118" s="87">
        <v>17.0</v>
      </c>
      <c r="Z118" s="66"/>
      <c r="AA118" s="66"/>
      <c r="AB118" s="72"/>
      <c r="AC118" s="73">
        <v>35.0</v>
      </c>
      <c r="AD118" s="73"/>
      <c r="AE118" s="74">
        <v>25.0</v>
      </c>
      <c r="AF118" s="75">
        <v>23.0</v>
      </c>
      <c r="AG118" s="73">
        <v>20.0</v>
      </c>
      <c r="AH118" s="76"/>
      <c r="AI118" s="77">
        <f t="shared" si="7"/>
        <v>611</v>
      </c>
      <c r="AJ118" s="78">
        <f t="shared" si="8"/>
        <v>39.07692308</v>
      </c>
      <c r="AK118" s="79">
        <f t="shared" si="9"/>
        <v>35.94117647</v>
      </c>
      <c r="AL118" s="80"/>
      <c r="AM118" s="81"/>
    </row>
    <row r="119">
      <c r="A119" s="83">
        <v>45374.0</v>
      </c>
      <c r="B119" s="70">
        <f t="shared" si="11"/>
        <v>2</v>
      </c>
      <c r="C119" s="71"/>
      <c r="D119" s="66"/>
      <c r="E119" s="66"/>
      <c r="F119" s="66"/>
      <c r="G119" s="66"/>
      <c r="H119" s="66"/>
      <c r="I119" s="66"/>
      <c r="J119" s="66"/>
      <c r="K119" s="84"/>
      <c r="L119" s="66"/>
      <c r="M119" s="66"/>
      <c r="N119" s="66"/>
      <c r="O119" s="66"/>
      <c r="P119" s="66"/>
      <c r="Q119" s="67"/>
      <c r="R119" s="66"/>
      <c r="S119" s="66"/>
      <c r="T119" s="66"/>
      <c r="U119" s="66"/>
      <c r="V119" s="66"/>
      <c r="W119" s="66">
        <v>7.0</v>
      </c>
      <c r="X119" s="66"/>
      <c r="Y119" s="87">
        <v>15.0</v>
      </c>
      <c r="Z119" s="66"/>
      <c r="AA119" s="66"/>
      <c r="AB119" s="72"/>
      <c r="AC119" s="73">
        <v>15.0</v>
      </c>
      <c r="AD119" s="73"/>
      <c r="AE119" s="74">
        <v>17.0</v>
      </c>
      <c r="AF119" s="75">
        <v>17.0</v>
      </c>
      <c r="AG119" s="73">
        <v>17.0</v>
      </c>
      <c r="AH119" s="76"/>
      <c r="AI119" s="77">
        <f t="shared" si="7"/>
        <v>88</v>
      </c>
      <c r="AJ119" s="78">
        <f t="shared" si="8"/>
        <v>11</v>
      </c>
      <c r="AK119" s="79">
        <f t="shared" si="9"/>
        <v>14.66666667</v>
      </c>
      <c r="AL119" s="80"/>
      <c r="AM119" s="81"/>
    </row>
    <row r="120">
      <c r="A120" s="83">
        <v>45367.0</v>
      </c>
      <c r="B120" s="70">
        <f t="shared" si="11"/>
        <v>13</v>
      </c>
      <c r="C120" s="71">
        <v>30.0</v>
      </c>
      <c r="D120" s="66">
        <v>13.0</v>
      </c>
      <c r="E120" s="66">
        <v>182.0</v>
      </c>
      <c r="F120" s="66">
        <v>46.0</v>
      </c>
      <c r="G120" s="66">
        <v>16.0</v>
      </c>
      <c r="H120" s="66">
        <v>41.0</v>
      </c>
      <c r="I120" s="66">
        <v>39.0</v>
      </c>
      <c r="J120" s="66">
        <v>48.0</v>
      </c>
      <c r="K120" s="84"/>
      <c r="L120" s="66"/>
      <c r="M120" s="66"/>
      <c r="N120" s="66"/>
      <c r="O120" s="66"/>
      <c r="P120" s="66"/>
      <c r="Q120" s="67"/>
      <c r="R120" s="66"/>
      <c r="S120" s="66"/>
      <c r="T120" s="66"/>
      <c r="U120" s="66">
        <v>37.0</v>
      </c>
      <c r="V120" s="66">
        <v>19.0</v>
      </c>
      <c r="W120" s="66">
        <v>5.0</v>
      </c>
      <c r="X120" s="66">
        <v>63.0</v>
      </c>
      <c r="Y120" s="87">
        <v>20.0</v>
      </c>
      <c r="Z120" s="66"/>
      <c r="AA120" s="66"/>
      <c r="AB120" s="72"/>
      <c r="AC120" s="89">
        <v>8.0</v>
      </c>
      <c r="AD120" s="73"/>
      <c r="AE120" s="74">
        <v>27.0</v>
      </c>
      <c r="AF120" s="75">
        <v>32.0</v>
      </c>
      <c r="AG120" s="73">
        <v>20.0</v>
      </c>
      <c r="AH120" s="76"/>
      <c r="AI120" s="77">
        <f t="shared" si="7"/>
        <v>646</v>
      </c>
      <c r="AJ120" s="78">
        <f t="shared" si="8"/>
        <v>43</v>
      </c>
      <c r="AK120" s="79">
        <f t="shared" si="9"/>
        <v>38</v>
      </c>
      <c r="AL120" s="80"/>
      <c r="AM120" s="81"/>
    </row>
    <row r="121">
      <c r="A121" s="83">
        <v>45360.0</v>
      </c>
      <c r="B121" s="70">
        <f t="shared" si="11"/>
        <v>13</v>
      </c>
      <c r="C121" s="71">
        <v>30.0</v>
      </c>
      <c r="D121" s="66">
        <v>10.0</v>
      </c>
      <c r="E121" s="66">
        <v>121.0</v>
      </c>
      <c r="F121" s="66">
        <v>34.0</v>
      </c>
      <c r="G121" s="66">
        <v>18.0</v>
      </c>
      <c r="H121" s="66">
        <v>43.0</v>
      </c>
      <c r="I121" s="66">
        <v>28.0</v>
      </c>
      <c r="J121" s="66">
        <v>18.0</v>
      </c>
      <c r="K121" s="84"/>
      <c r="L121" s="66"/>
      <c r="M121" s="66"/>
      <c r="N121" s="66"/>
      <c r="O121" s="66"/>
      <c r="P121" s="66"/>
      <c r="Q121" s="67"/>
      <c r="R121" s="66"/>
      <c r="S121" s="66"/>
      <c r="T121" s="66"/>
      <c r="U121" s="66">
        <v>39.0</v>
      </c>
      <c r="V121" s="66">
        <v>26.0</v>
      </c>
      <c r="W121" s="66">
        <v>7.0</v>
      </c>
      <c r="X121" s="66">
        <v>81.0</v>
      </c>
      <c r="Y121" s="87">
        <v>18.0</v>
      </c>
      <c r="Z121" s="66"/>
      <c r="AA121" s="66"/>
      <c r="AB121" s="72"/>
      <c r="AC121" s="73">
        <v>16.0</v>
      </c>
      <c r="AD121" s="73"/>
      <c r="AE121" s="74">
        <v>23.0</v>
      </c>
      <c r="AF121" s="75">
        <v>18.0</v>
      </c>
      <c r="AG121" s="73">
        <v>24.0</v>
      </c>
      <c r="AH121" s="76"/>
      <c r="AI121" s="77">
        <f t="shared" si="7"/>
        <v>554</v>
      </c>
      <c r="AJ121" s="78">
        <f t="shared" si="8"/>
        <v>36.38461538</v>
      </c>
      <c r="AK121" s="79">
        <f t="shared" si="9"/>
        <v>32.58823529</v>
      </c>
      <c r="AL121" s="80"/>
      <c r="AM121" s="81"/>
    </row>
    <row r="122">
      <c r="A122" s="83">
        <v>45353.0</v>
      </c>
      <c r="B122" s="70">
        <f t="shared" si="11"/>
        <v>13</v>
      </c>
      <c r="C122" s="71">
        <v>27.0</v>
      </c>
      <c r="D122" s="66">
        <v>6.0</v>
      </c>
      <c r="E122" s="66">
        <v>105.0</v>
      </c>
      <c r="F122" s="66">
        <v>43.0</v>
      </c>
      <c r="G122" s="66">
        <v>10.0</v>
      </c>
      <c r="H122" s="66">
        <v>31.0</v>
      </c>
      <c r="I122" s="66">
        <v>35.0</v>
      </c>
      <c r="J122" s="66">
        <v>24.0</v>
      </c>
      <c r="K122" s="84"/>
      <c r="L122" s="66"/>
      <c r="M122" s="66"/>
      <c r="N122" s="66"/>
      <c r="O122" s="66"/>
      <c r="P122" s="66"/>
      <c r="Q122" s="67"/>
      <c r="R122" s="66"/>
      <c r="S122" s="66"/>
      <c r="T122" s="66"/>
      <c r="U122" s="66">
        <v>21.0</v>
      </c>
      <c r="V122" s="66">
        <v>13.0</v>
      </c>
      <c r="W122" s="66">
        <v>7.0</v>
      </c>
      <c r="X122" s="66">
        <v>58.0</v>
      </c>
      <c r="Y122" s="87">
        <v>19.0</v>
      </c>
      <c r="Z122" s="66"/>
      <c r="AA122" s="66"/>
      <c r="AB122" s="72"/>
      <c r="AC122" s="73">
        <v>8.0</v>
      </c>
      <c r="AD122" s="73"/>
      <c r="AE122" s="74">
        <v>25.0</v>
      </c>
      <c r="AF122" s="75">
        <v>15.0</v>
      </c>
      <c r="AG122" s="73">
        <v>16.0</v>
      </c>
      <c r="AH122" s="76"/>
      <c r="AI122" s="77">
        <f t="shared" si="7"/>
        <v>463</v>
      </c>
      <c r="AJ122" s="78">
        <f t="shared" si="8"/>
        <v>30.69230769</v>
      </c>
      <c r="AK122" s="79">
        <f t="shared" si="9"/>
        <v>27.23529412</v>
      </c>
      <c r="AL122" s="80"/>
      <c r="AM122" s="81"/>
    </row>
    <row r="123">
      <c r="A123" s="83">
        <v>45346.0</v>
      </c>
      <c r="B123" s="70">
        <f t="shared" si="11"/>
        <v>13</v>
      </c>
      <c r="C123" s="71">
        <v>34.0</v>
      </c>
      <c r="D123" s="66">
        <v>8.0</v>
      </c>
      <c r="E123" s="66">
        <v>97.0</v>
      </c>
      <c r="F123" s="66">
        <v>21.0</v>
      </c>
      <c r="G123" s="66">
        <v>74.0</v>
      </c>
      <c r="H123" s="66">
        <v>16.0</v>
      </c>
      <c r="I123" s="66">
        <v>20.0</v>
      </c>
      <c r="J123" s="66">
        <v>20.0</v>
      </c>
      <c r="K123" s="84"/>
      <c r="L123" s="66"/>
      <c r="M123" s="66"/>
      <c r="N123" s="66"/>
      <c r="O123" s="66"/>
      <c r="P123" s="66"/>
      <c r="Q123" s="67"/>
      <c r="R123" s="66"/>
      <c r="S123" s="66"/>
      <c r="T123" s="66"/>
      <c r="U123" s="66">
        <v>19.0</v>
      </c>
      <c r="V123" s="66">
        <v>19.0</v>
      </c>
      <c r="W123" s="66">
        <v>4.0</v>
      </c>
      <c r="X123" s="66">
        <v>50.0</v>
      </c>
      <c r="Y123" s="87">
        <v>14.0</v>
      </c>
      <c r="Z123" s="66"/>
      <c r="AA123" s="66"/>
      <c r="AB123" s="72"/>
      <c r="AC123" s="73">
        <v>17.0</v>
      </c>
      <c r="AD123" s="73"/>
      <c r="AE123" s="74">
        <v>24.0</v>
      </c>
      <c r="AF123" s="75">
        <v>15.0</v>
      </c>
      <c r="AG123" s="73">
        <v>18.0</v>
      </c>
      <c r="AH123" s="76"/>
      <c r="AI123" s="77">
        <f t="shared" si="7"/>
        <v>470</v>
      </c>
      <c r="AJ123" s="78">
        <f t="shared" si="8"/>
        <v>30.46153846</v>
      </c>
      <c r="AK123" s="79">
        <f t="shared" si="9"/>
        <v>27.64705882</v>
      </c>
      <c r="AL123" s="80"/>
      <c r="AM123" s="81"/>
    </row>
    <row r="124">
      <c r="A124" s="83">
        <v>45339.0</v>
      </c>
      <c r="B124" s="70">
        <f t="shared" si="11"/>
        <v>12</v>
      </c>
      <c r="C124" s="71">
        <v>20.0</v>
      </c>
      <c r="D124" s="66">
        <v>13.0</v>
      </c>
      <c r="E124" s="66">
        <v>87.0</v>
      </c>
      <c r="F124" s="66">
        <v>29.0</v>
      </c>
      <c r="G124" s="66">
        <v>13.0</v>
      </c>
      <c r="H124" s="66">
        <v>29.0</v>
      </c>
      <c r="I124" s="66">
        <v>24.0</v>
      </c>
      <c r="J124" s="66">
        <v>21.0</v>
      </c>
      <c r="K124" s="84"/>
      <c r="L124" s="66"/>
      <c r="M124" s="66"/>
      <c r="N124" s="66"/>
      <c r="O124" s="66"/>
      <c r="P124" s="66"/>
      <c r="Q124" s="67"/>
      <c r="R124" s="66"/>
      <c r="S124" s="66"/>
      <c r="T124" s="66"/>
      <c r="U124" s="66">
        <v>49.0</v>
      </c>
      <c r="V124" s="66">
        <v>11.0</v>
      </c>
      <c r="W124" s="66">
        <v>3.0</v>
      </c>
      <c r="X124" s="66"/>
      <c r="Y124" s="87">
        <v>12.0</v>
      </c>
      <c r="Z124" s="66"/>
      <c r="AA124" s="66"/>
      <c r="AB124" s="72"/>
      <c r="AC124" s="73">
        <v>12.0</v>
      </c>
      <c r="AD124" s="73"/>
      <c r="AE124" s="74">
        <v>24.0</v>
      </c>
      <c r="AF124" s="75">
        <v>17.0</v>
      </c>
      <c r="AG124" s="73">
        <v>15.0</v>
      </c>
      <c r="AH124" s="76"/>
      <c r="AI124" s="77">
        <f t="shared" si="7"/>
        <v>379</v>
      </c>
      <c r="AJ124" s="78">
        <f t="shared" si="8"/>
        <v>25.91666667</v>
      </c>
      <c r="AK124" s="79">
        <f t="shared" si="9"/>
        <v>23.6875</v>
      </c>
      <c r="AL124" s="80"/>
      <c r="AM124" s="81"/>
    </row>
    <row r="125">
      <c r="A125" s="83">
        <v>45332.0</v>
      </c>
      <c r="B125" s="70">
        <f t="shared" si="11"/>
        <v>13</v>
      </c>
      <c r="C125" s="71">
        <v>23.0</v>
      </c>
      <c r="D125" s="66">
        <v>13.0</v>
      </c>
      <c r="E125" s="66">
        <v>72.0</v>
      </c>
      <c r="F125" s="66">
        <v>25.0</v>
      </c>
      <c r="G125" s="66">
        <v>13.0</v>
      </c>
      <c r="H125" s="66">
        <v>13.0</v>
      </c>
      <c r="I125" s="66">
        <v>21.0</v>
      </c>
      <c r="J125" s="66">
        <v>14.0</v>
      </c>
      <c r="K125" s="84"/>
      <c r="L125" s="66"/>
      <c r="M125" s="66"/>
      <c r="N125" s="66"/>
      <c r="O125" s="66"/>
      <c r="P125" s="66"/>
      <c r="Q125" s="67"/>
      <c r="R125" s="66"/>
      <c r="S125" s="66"/>
      <c r="T125" s="66"/>
      <c r="U125" s="66">
        <v>25.0</v>
      </c>
      <c r="V125" s="66">
        <v>12.0</v>
      </c>
      <c r="W125" s="66">
        <v>5.0</v>
      </c>
      <c r="X125" s="66">
        <v>84.0</v>
      </c>
      <c r="Y125" s="87">
        <v>13.0</v>
      </c>
      <c r="Z125" s="66"/>
      <c r="AA125" s="66"/>
      <c r="AB125" s="72"/>
      <c r="AC125" s="73">
        <v>15.0</v>
      </c>
      <c r="AD125" s="73"/>
      <c r="AE125" s="74">
        <v>22.0</v>
      </c>
      <c r="AF125" s="75">
        <v>16.0</v>
      </c>
      <c r="AG125" s="73">
        <v>22.0</v>
      </c>
      <c r="AH125" s="76"/>
      <c r="AI125" s="77">
        <f t="shared" si="7"/>
        <v>408</v>
      </c>
      <c r="AJ125" s="78">
        <f t="shared" si="8"/>
        <v>25.61538462</v>
      </c>
      <c r="AK125" s="79">
        <f t="shared" si="9"/>
        <v>24</v>
      </c>
      <c r="AL125" s="80"/>
      <c r="AM125" s="81"/>
    </row>
    <row r="126">
      <c r="A126" s="83">
        <v>45325.0</v>
      </c>
      <c r="B126" s="70">
        <f t="shared" si="11"/>
        <v>13</v>
      </c>
      <c r="C126" s="71">
        <v>16.0</v>
      </c>
      <c r="D126" s="66">
        <v>12.0</v>
      </c>
      <c r="E126" s="66">
        <v>433.0</v>
      </c>
      <c r="F126" s="66">
        <v>18.0</v>
      </c>
      <c r="G126" s="66">
        <v>9.0</v>
      </c>
      <c r="H126" s="66">
        <v>21.0</v>
      </c>
      <c r="I126" s="66">
        <v>29.0</v>
      </c>
      <c r="J126" s="66">
        <v>21.0</v>
      </c>
      <c r="K126" s="84"/>
      <c r="L126" s="66"/>
      <c r="M126" s="66"/>
      <c r="N126" s="66"/>
      <c r="O126" s="66"/>
      <c r="P126" s="66"/>
      <c r="Q126" s="67"/>
      <c r="R126" s="66"/>
      <c r="S126" s="66"/>
      <c r="T126" s="66"/>
      <c r="U126" s="66">
        <v>24.0</v>
      </c>
      <c r="V126" s="66">
        <v>11.0</v>
      </c>
      <c r="W126" s="66">
        <v>3.0</v>
      </c>
      <c r="X126" s="66">
        <v>56.0</v>
      </c>
      <c r="Y126" s="87">
        <v>19.0</v>
      </c>
      <c r="Z126" s="66"/>
      <c r="AA126" s="66"/>
      <c r="AB126" s="72"/>
      <c r="AC126" s="73">
        <v>17.0</v>
      </c>
      <c r="AD126" s="73"/>
      <c r="AE126" s="74">
        <v>17.0</v>
      </c>
      <c r="AF126" s="75">
        <v>10.0</v>
      </c>
      <c r="AG126" s="73">
        <v>24.0</v>
      </c>
      <c r="AH126" s="76"/>
      <c r="AI126" s="77">
        <f t="shared" si="7"/>
        <v>740</v>
      </c>
      <c r="AJ126" s="78">
        <f t="shared" si="8"/>
        <v>51.69230769</v>
      </c>
      <c r="AK126" s="79">
        <f t="shared" si="9"/>
        <v>43.52941176</v>
      </c>
      <c r="AL126" s="80"/>
      <c r="AM126" s="81"/>
    </row>
    <row r="127">
      <c r="A127" s="83">
        <v>45318.0</v>
      </c>
      <c r="B127" s="70">
        <f t="shared" si="11"/>
        <v>13</v>
      </c>
      <c r="C127" s="71">
        <v>36.0</v>
      </c>
      <c r="D127" s="66">
        <v>11.0</v>
      </c>
      <c r="E127" s="66">
        <v>96.0</v>
      </c>
      <c r="F127" s="66">
        <v>28.0</v>
      </c>
      <c r="G127" s="66">
        <v>9.0</v>
      </c>
      <c r="H127" s="66">
        <v>27.0</v>
      </c>
      <c r="I127" s="66">
        <v>42.0</v>
      </c>
      <c r="J127" s="66">
        <v>21.0</v>
      </c>
      <c r="K127" s="84"/>
      <c r="L127" s="66"/>
      <c r="M127" s="66"/>
      <c r="N127" s="66"/>
      <c r="O127" s="66"/>
      <c r="P127" s="66"/>
      <c r="Q127" s="67"/>
      <c r="R127" s="66"/>
      <c r="S127" s="66"/>
      <c r="T127" s="66"/>
      <c r="U127" s="66">
        <v>23.0</v>
      </c>
      <c r="V127" s="66">
        <v>12.0</v>
      </c>
      <c r="W127" s="66">
        <v>5.0</v>
      </c>
      <c r="X127" s="66">
        <v>77.0</v>
      </c>
      <c r="Y127" s="87">
        <v>14.0</v>
      </c>
      <c r="Z127" s="66"/>
      <c r="AA127" s="66"/>
      <c r="AB127" s="72"/>
      <c r="AC127" s="73">
        <v>12.0</v>
      </c>
      <c r="AD127" s="73"/>
      <c r="AE127" s="74">
        <v>13.0</v>
      </c>
      <c r="AF127" s="75">
        <v>7.0</v>
      </c>
      <c r="AG127" s="73">
        <v>15.0</v>
      </c>
      <c r="AH127" s="76"/>
      <c r="AI127" s="77">
        <f t="shared" si="7"/>
        <v>448</v>
      </c>
      <c r="AJ127" s="78">
        <f t="shared" si="8"/>
        <v>30.84615385</v>
      </c>
      <c r="AK127" s="79">
        <f t="shared" si="9"/>
        <v>26.35294118</v>
      </c>
      <c r="AL127" s="80"/>
      <c r="AM127" s="81"/>
    </row>
    <row r="128">
      <c r="A128" s="83">
        <v>45311.0</v>
      </c>
      <c r="B128" s="70">
        <f t="shared" si="11"/>
        <v>13</v>
      </c>
      <c r="C128" s="71">
        <v>23.0</v>
      </c>
      <c r="D128" s="66">
        <v>13.0</v>
      </c>
      <c r="E128" s="66">
        <v>118.0</v>
      </c>
      <c r="F128" s="66">
        <v>20.0</v>
      </c>
      <c r="G128" s="66">
        <v>10.0</v>
      </c>
      <c r="H128" s="66">
        <v>36.0</v>
      </c>
      <c r="I128" s="66">
        <v>25.0</v>
      </c>
      <c r="J128" s="66">
        <v>25.0</v>
      </c>
      <c r="K128" s="84"/>
      <c r="L128" s="66"/>
      <c r="M128" s="66"/>
      <c r="N128" s="66"/>
      <c r="O128" s="66"/>
      <c r="P128" s="66"/>
      <c r="Q128" s="67"/>
      <c r="R128" s="66"/>
      <c r="S128" s="66"/>
      <c r="T128" s="66"/>
      <c r="U128" s="66">
        <v>16.0</v>
      </c>
      <c r="V128" s="66">
        <v>10.0</v>
      </c>
      <c r="W128" s="66">
        <v>4.0</v>
      </c>
      <c r="X128" s="66">
        <v>34.0</v>
      </c>
      <c r="Y128" s="87">
        <v>17.0</v>
      </c>
      <c r="Z128" s="66"/>
      <c r="AA128" s="66"/>
      <c r="AB128" s="72"/>
      <c r="AC128" s="73">
        <v>13.0</v>
      </c>
      <c r="AD128" s="73"/>
      <c r="AE128" s="74">
        <v>16.0</v>
      </c>
      <c r="AF128" s="75">
        <v>6.0</v>
      </c>
      <c r="AG128" s="73">
        <v>24.0</v>
      </c>
      <c r="AH128" s="76"/>
      <c r="AI128" s="77">
        <f t="shared" si="7"/>
        <v>410</v>
      </c>
      <c r="AJ128" s="78">
        <f t="shared" si="8"/>
        <v>27</v>
      </c>
      <c r="AK128" s="79">
        <f t="shared" si="9"/>
        <v>24.11764706</v>
      </c>
      <c r="AL128" s="80"/>
      <c r="AM128" s="81"/>
      <c r="AN128" s="81"/>
    </row>
    <row r="129">
      <c r="A129" s="83">
        <v>45304.0</v>
      </c>
      <c r="B129" s="70">
        <f t="shared" si="11"/>
        <v>13</v>
      </c>
      <c r="C129" s="71">
        <v>15.0</v>
      </c>
      <c r="D129" s="66">
        <v>10.0</v>
      </c>
      <c r="E129" s="66">
        <v>64.0</v>
      </c>
      <c r="F129" s="66">
        <v>16.0</v>
      </c>
      <c r="G129" s="66">
        <v>10.0</v>
      </c>
      <c r="H129" s="66">
        <v>22.0</v>
      </c>
      <c r="I129" s="66">
        <v>18.0</v>
      </c>
      <c r="J129" s="66">
        <v>19.0</v>
      </c>
      <c r="K129" s="84"/>
      <c r="L129" s="66"/>
      <c r="M129" s="66"/>
      <c r="N129" s="66"/>
      <c r="O129" s="66"/>
      <c r="P129" s="66"/>
      <c r="Q129" s="67"/>
      <c r="R129" s="66"/>
      <c r="S129" s="66"/>
      <c r="T129" s="66"/>
      <c r="U129" s="66">
        <v>11.0</v>
      </c>
      <c r="V129" s="66">
        <v>8.0</v>
      </c>
      <c r="W129" s="66">
        <v>4.0</v>
      </c>
      <c r="X129" s="66">
        <v>26.0</v>
      </c>
      <c r="Y129" s="87">
        <v>14.0</v>
      </c>
      <c r="Z129" s="66"/>
      <c r="AA129" s="66"/>
      <c r="AB129" s="72"/>
      <c r="AC129" s="73">
        <v>11.0</v>
      </c>
      <c r="AD129" s="73"/>
      <c r="AE129" s="74">
        <v>16.0</v>
      </c>
      <c r="AF129" s="75">
        <v>16.0</v>
      </c>
      <c r="AG129" s="73">
        <v>16.0</v>
      </c>
      <c r="AH129" s="76"/>
      <c r="AI129" s="77">
        <f t="shared" si="7"/>
        <v>296</v>
      </c>
      <c r="AJ129" s="78">
        <f t="shared" si="8"/>
        <v>18.23076923</v>
      </c>
      <c r="AK129" s="79">
        <f t="shared" si="9"/>
        <v>17.41176471</v>
      </c>
      <c r="AL129" s="80"/>
      <c r="AM129" s="81"/>
      <c r="AN129" s="81"/>
    </row>
    <row r="130">
      <c r="A130" s="83">
        <v>45297.0</v>
      </c>
      <c r="B130" s="70">
        <f t="shared" si="11"/>
        <v>13</v>
      </c>
      <c r="C130" s="71">
        <v>19.0</v>
      </c>
      <c r="D130" s="66">
        <v>5.0</v>
      </c>
      <c r="E130" s="66">
        <v>53.0</v>
      </c>
      <c r="F130" s="66">
        <v>18.0</v>
      </c>
      <c r="G130" s="66">
        <v>7.0</v>
      </c>
      <c r="H130" s="66">
        <v>17.0</v>
      </c>
      <c r="I130" s="66">
        <v>32.0</v>
      </c>
      <c r="J130" s="66">
        <v>6.0</v>
      </c>
      <c r="K130" s="84"/>
      <c r="L130" s="66"/>
      <c r="M130" s="66"/>
      <c r="N130" s="66"/>
      <c r="O130" s="66"/>
      <c r="P130" s="66"/>
      <c r="Q130" s="67"/>
      <c r="R130" s="66"/>
      <c r="S130" s="66"/>
      <c r="T130" s="66"/>
      <c r="U130" s="66">
        <v>13.0</v>
      </c>
      <c r="V130" s="66">
        <v>9.0</v>
      </c>
      <c r="W130" s="66">
        <v>5.0</v>
      </c>
      <c r="X130" s="66">
        <v>24.0</v>
      </c>
      <c r="Y130" s="87">
        <v>14.0</v>
      </c>
      <c r="Z130" s="66"/>
      <c r="AA130" s="66"/>
      <c r="AB130" s="72"/>
      <c r="AC130" s="73">
        <v>13.0</v>
      </c>
      <c r="AD130" s="73"/>
      <c r="AE130" s="74">
        <v>13.0</v>
      </c>
      <c r="AF130" s="75">
        <v>10.0</v>
      </c>
      <c r="AG130" s="73">
        <v>19.0</v>
      </c>
      <c r="AH130" s="76"/>
      <c r="AI130" s="77">
        <f t="shared" si="7"/>
        <v>277</v>
      </c>
      <c r="AJ130" s="78">
        <f t="shared" si="8"/>
        <v>17.07692308</v>
      </c>
      <c r="AK130" s="79">
        <f t="shared" si="9"/>
        <v>16.29411765</v>
      </c>
      <c r="AL130" s="80"/>
      <c r="AM130" s="81"/>
      <c r="AN130" s="81"/>
    </row>
    <row r="131">
      <c r="A131" s="83">
        <v>45292.0</v>
      </c>
      <c r="B131" s="70">
        <f t="shared" si="11"/>
        <v>6</v>
      </c>
      <c r="C131" s="71">
        <v>23.0</v>
      </c>
      <c r="D131" s="66"/>
      <c r="E131" s="66">
        <v>72.0</v>
      </c>
      <c r="F131" s="66">
        <v>23.0</v>
      </c>
      <c r="G131" s="66">
        <v>8.0</v>
      </c>
      <c r="H131" s="66">
        <v>14.0</v>
      </c>
      <c r="I131" s="66"/>
      <c r="J131" s="66"/>
      <c r="K131" s="84"/>
      <c r="L131" s="66"/>
      <c r="M131" s="66"/>
      <c r="N131" s="66"/>
      <c r="O131" s="66"/>
      <c r="P131" s="66"/>
      <c r="Q131" s="67"/>
      <c r="R131" s="66"/>
      <c r="S131" s="66"/>
      <c r="T131" s="66"/>
      <c r="U131" s="66"/>
      <c r="V131" s="66"/>
      <c r="W131" s="66"/>
      <c r="X131" s="66"/>
      <c r="Y131" s="87">
        <v>17.0</v>
      </c>
      <c r="Z131" s="66"/>
      <c r="AA131" s="66"/>
      <c r="AB131" s="72"/>
      <c r="AC131" s="73">
        <v>17.0</v>
      </c>
      <c r="AD131" s="73"/>
      <c r="AE131" s="74"/>
      <c r="AF131" s="75">
        <v>12.0</v>
      </c>
      <c r="AG131" s="73"/>
      <c r="AH131" s="76"/>
      <c r="AI131" s="77">
        <f t="shared" si="7"/>
        <v>186</v>
      </c>
      <c r="AJ131" s="78">
        <f t="shared" si="8"/>
        <v>26.16666667</v>
      </c>
      <c r="AK131" s="79">
        <f t="shared" si="9"/>
        <v>23.25</v>
      </c>
      <c r="AL131" s="80"/>
      <c r="AM131" s="81"/>
      <c r="AN131" s="81"/>
      <c r="AO131" s="81"/>
      <c r="AP131" s="81"/>
      <c r="AQ131" s="81"/>
      <c r="AR131" s="81"/>
      <c r="AS131" s="81"/>
      <c r="AT131" s="81"/>
      <c r="AU131" s="81"/>
      <c r="AV131" s="81"/>
      <c r="AW131" s="81"/>
      <c r="AX131" s="81"/>
      <c r="AY131" s="81"/>
      <c r="AZ131" s="81"/>
      <c r="BA131" s="81"/>
      <c r="BB131" s="81"/>
      <c r="BC131" s="81"/>
      <c r="BD131" s="81"/>
      <c r="BE131" s="81"/>
      <c r="BF131" s="81"/>
      <c r="BG131" s="81"/>
      <c r="BH131" s="81"/>
      <c r="BI131" s="81"/>
      <c r="BJ131" s="81"/>
    </row>
    <row r="132">
      <c r="A132" s="83">
        <v>45290.0</v>
      </c>
      <c r="B132" s="70">
        <f t="shared" si="11"/>
        <v>13</v>
      </c>
      <c r="C132" s="71">
        <v>29.0</v>
      </c>
      <c r="D132" s="66">
        <v>5.0</v>
      </c>
      <c r="E132" s="66">
        <v>80.0</v>
      </c>
      <c r="F132" s="66">
        <v>38.0</v>
      </c>
      <c r="G132" s="66">
        <v>21.0</v>
      </c>
      <c r="H132" s="66">
        <v>21.0</v>
      </c>
      <c r="I132" s="66">
        <v>37.0</v>
      </c>
      <c r="J132" s="66">
        <v>31.0</v>
      </c>
      <c r="K132" s="84"/>
      <c r="L132" s="66"/>
      <c r="M132" s="66"/>
      <c r="N132" s="66"/>
      <c r="O132" s="66"/>
      <c r="P132" s="66"/>
      <c r="Q132" s="67"/>
      <c r="R132" s="66"/>
      <c r="S132" s="66"/>
      <c r="T132" s="66"/>
      <c r="U132" s="66">
        <v>38.0</v>
      </c>
      <c r="V132" s="66">
        <v>31.0</v>
      </c>
      <c r="W132" s="66">
        <v>7.0</v>
      </c>
      <c r="X132" s="66">
        <v>72.0</v>
      </c>
      <c r="Y132" s="87">
        <v>22.0</v>
      </c>
      <c r="Z132" s="66"/>
      <c r="AA132" s="66"/>
      <c r="AB132" s="72"/>
      <c r="AC132" s="73">
        <v>22.0</v>
      </c>
      <c r="AD132" s="73"/>
      <c r="AE132" s="74">
        <v>24.0</v>
      </c>
      <c r="AF132" s="75">
        <v>14.0</v>
      </c>
      <c r="AG132" s="73">
        <v>20.0</v>
      </c>
      <c r="AH132" s="76"/>
      <c r="AI132" s="77">
        <f t="shared" si="7"/>
        <v>512</v>
      </c>
      <c r="AJ132" s="78">
        <f t="shared" si="8"/>
        <v>33.23076923</v>
      </c>
      <c r="AK132" s="79">
        <f t="shared" si="9"/>
        <v>30.11764706</v>
      </c>
      <c r="AL132" s="80"/>
      <c r="AM132" s="81"/>
      <c r="AN132" s="81"/>
      <c r="AO132" s="81"/>
      <c r="AP132" s="81"/>
      <c r="AQ132" s="81"/>
      <c r="AR132" s="81"/>
      <c r="AS132" s="81"/>
      <c r="AT132" s="81"/>
      <c r="AU132" s="81"/>
      <c r="AV132" s="81"/>
      <c r="AW132" s="81"/>
      <c r="AX132" s="81"/>
      <c r="AY132" s="81"/>
      <c r="AZ132" s="81"/>
      <c r="BA132" s="81"/>
      <c r="BB132" s="81"/>
      <c r="BC132" s="81"/>
      <c r="BD132" s="81"/>
      <c r="BE132" s="81"/>
      <c r="BF132" s="81"/>
      <c r="BG132" s="81"/>
      <c r="BH132" s="81"/>
      <c r="BI132" s="81"/>
      <c r="BJ132" s="81"/>
    </row>
    <row r="133">
      <c r="A133" s="83">
        <v>45283.0</v>
      </c>
      <c r="B133" s="70">
        <f t="shared" si="11"/>
        <v>12</v>
      </c>
      <c r="C133" s="71">
        <v>11.0</v>
      </c>
      <c r="D133" s="66">
        <v>11.0</v>
      </c>
      <c r="E133" s="66">
        <v>62.0</v>
      </c>
      <c r="F133" s="66">
        <v>29.0</v>
      </c>
      <c r="G133" s="66">
        <v>8.0</v>
      </c>
      <c r="H133" s="66">
        <v>29.0</v>
      </c>
      <c r="I133" s="66">
        <v>37.0</v>
      </c>
      <c r="J133" s="66">
        <v>15.0</v>
      </c>
      <c r="K133" s="84"/>
      <c r="L133" s="66"/>
      <c r="M133" s="66"/>
      <c r="N133" s="66"/>
      <c r="O133" s="66"/>
      <c r="P133" s="66"/>
      <c r="Q133" s="67"/>
      <c r="R133" s="66"/>
      <c r="S133" s="66"/>
      <c r="T133" s="66"/>
      <c r="U133" s="66">
        <v>20.0</v>
      </c>
      <c r="V133" s="66">
        <v>5.0</v>
      </c>
      <c r="W133" s="66"/>
      <c r="X133" s="66">
        <v>46.0</v>
      </c>
      <c r="Y133" s="87">
        <v>20.0</v>
      </c>
      <c r="Z133" s="66"/>
      <c r="AA133" s="66"/>
      <c r="AB133" s="72"/>
      <c r="AC133" s="73">
        <v>12.0</v>
      </c>
      <c r="AD133" s="73"/>
      <c r="AE133" s="74">
        <v>15.0</v>
      </c>
      <c r="AF133" s="75">
        <v>8.0</v>
      </c>
      <c r="AG133" s="73">
        <v>10.0</v>
      </c>
      <c r="AH133" s="76"/>
      <c r="AI133" s="77">
        <f t="shared" si="7"/>
        <v>338</v>
      </c>
      <c r="AJ133" s="78">
        <f t="shared" si="8"/>
        <v>24.41666667</v>
      </c>
      <c r="AK133" s="79">
        <f t="shared" si="9"/>
        <v>21.125</v>
      </c>
      <c r="AL133" s="80"/>
      <c r="AM133" s="81"/>
      <c r="AN133" s="81"/>
      <c r="AO133" s="81"/>
      <c r="AP133" s="81"/>
      <c r="AQ133" s="81"/>
      <c r="AR133" s="81"/>
      <c r="AS133" s="81"/>
      <c r="AT133" s="81"/>
      <c r="AU133" s="81"/>
      <c r="AV133" s="81"/>
      <c r="AW133" s="81"/>
      <c r="AX133" s="81"/>
      <c r="AY133" s="81"/>
      <c r="AZ133" s="81"/>
      <c r="BA133" s="81"/>
      <c r="BB133" s="81"/>
      <c r="BC133" s="81"/>
      <c r="BD133" s="81"/>
      <c r="BE133" s="81"/>
      <c r="BF133" s="81"/>
      <c r="BG133" s="81"/>
      <c r="BH133" s="81"/>
      <c r="BI133" s="81"/>
      <c r="BJ133" s="81"/>
    </row>
    <row r="134">
      <c r="A134" s="83">
        <v>45276.0</v>
      </c>
      <c r="B134" s="70">
        <f t="shared" si="11"/>
        <v>13</v>
      </c>
      <c r="C134" s="71">
        <v>13.0</v>
      </c>
      <c r="D134" s="66">
        <v>13.0</v>
      </c>
      <c r="E134" s="66">
        <v>65.0</v>
      </c>
      <c r="F134" s="66">
        <v>27.0</v>
      </c>
      <c r="G134" s="66">
        <v>11.0</v>
      </c>
      <c r="H134" s="66">
        <v>22.0</v>
      </c>
      <c r="I134" s="66">
        <v>20.0</v>
      </c>
      <c r="J134" s="66">
        <v>23.0</v>
      </c>
      <c r="K134" s="84"/>
      <c r="L134" s="66"/>
      <c r="M134" s="66"/>
      <c r="N134" s="66"/>
      <c r="O134" s="66"/>
      <c r="P134" s="66"/>
      <c r="Q134" s="67"/>
      <c r="R134" s="66"/>
      <c r="S134" s="66"/>
      <c r="T134" s="66"/>
      <c r="U134" s="66">
        <v>25.0</v>
      </c>
      <c r="V134" s="66">
        <v>6.0</v>
      </c>
      <c r="W134" s="66">
        <v>2.0</v>
      </c>
      <c r="X134" s="66">
        <v>43.0</v>
      </c>
      <c r="Y134" s="87">
        <v>16.0</v>
      </c>
      <c r="Z134" s="66"/>
      <c r="AA134" s="66"/>
      <c r="AB134" s="72"/>
      <c r="AC134" s="73">
        <v>9.0</v>
      </c>
      <c r="AD134" s="73"/>
      <c r="AE134" s="74">
        <v>17.0</v>
      </c>
      <c r="AF134" s="75">
        <v>11.0</v>
      </c>
      <c r="AG134" s="73">
        <v>12.0</v>
      </c>
      <c r="AH134" s="76"/>
      <c r="AI134" s="77">
        <f t="shared" si="7"/>
        <v>335</v>
      </c>
      <c r="AJ134" s="78">
        <f t="shared" si="8"/>
        <v>22</v>
      </c>
      <c r="AK134" s="79">
        <f t="shared" si="9"/>
        <v>19.70588235</v>
      </c>
      <c r="AL134" s="80"/>
      <c r="AM134" s="81"/>
      <c r="AN134" s="81"/>
      <c r="AO134" s="81"/>
      <c r="AP134" s="81"/>
      <c r="AQ134" s="81"/>
      <c r="AR134" s="81"/>
      <c r="AS134" s="81"/>
      <c r="AT134" s="81"/>
      <c r="AU134" s="81"/>
      <c r="AV134" s="81"/>
      <c r="AW134" s="81"/>
      <c r="AX134" s="81"/>
      <c r="AY134" s="81"/>
      <c r="AZ134" s="81"/>
      <c r="BA134" s="81"/>
      <c r="BB134" s="81"/>
      <c r="BC134" s="81"/>
      <c r="BD134" s="81"/>
      <c r="BE134" s="81"/>
      <c r="BF134" s="81"/>
      <c r="BG134" s="81"/>
      <c r="BH134" s="81"/>
      <c r="BI134" s="81"/>
      <c r="BJ134" s="81"/>
    </row>
    <row r="135">
      <c r="A135" s="83">
        <v>45269.0</v>
      </c>
      <c r="B135" s="70">
        <f t="shared" si="11"/>
        <v>13</v>
      </c>
      <c r="C135" s="71">
        <v>19.0</v>
      </c>
      <c r="D135" s="66">
        <v>9.0</v>
      </c>
      <c r="E135" s="66">
        <v>90.0</v>
      </c>
      <c r="F135" s="66">
        <v>132.0</v>
      </c>
      <c r="G135" s="66">
        <v>13.0</v>
      </c>
      <c r="H135" s="66">
        <v>13.0</v>
      </c>
      <c r="I135" s="66">
        <v>16.0</v>
      </c>
      <c r="J135" s="66">
        <v>16.0</v>
      </c>
      <c r="K135" s="84"/>
      <c r="L135" s="66"/>
      <c r="M135" s="66"/>
      <c r="N135" s="66"/>
      <c r="O135" s="66"/>
      <c r="P135" s="66"/>
      <c r="Q135" s="67"/>
      <c r="R135" s="66"/>
      <c r="S135" s="66"/>
      <c r="T135" s="66"/>
      <c r="U135" s="66">
        <v>20.0</v>
      </c>
      <c r="V135" s="66">
        <v>6.0</v>
      </c>
      <c r="W135" s="66">
        <v>3.0</v>
      </c>
      <c r="X135" s="66">
        <v>38.0</v>
      </c>
      <c r="Y135" s="87">
        <v>12.0</v>
      </c>
      <c r="Z135" s="66"/>
      <c r="AA135" s="66"/>
      <c r="AB135" s="72"/>
      <c r="AC135" s="73">
        <v>15.0</v>
      </c>
      <c r="AD135" s="73"/>
      <c r="AE135" s="74"/>
      <c r="AF135" s="75">
        <v>14.0</v>
      </c>
      <c r="AG135" s="73">
        <v>14.0</v>
      </c>
      <c r="AH135" s="76"/>
      <c r="AI135" s="77">
        <f t="shared" si="7"/>
        <v>430</v>
      </c>
      <c r="AJ135" s="78">
        <f t="shared" si="8"/>
        <v>29.76923077</v>
      </c>
      <c r="AK135" s="79">
        <f t="shared" si="9"/>
        <v>26.875</v>
      </c>
      <c r="AL135" s="80"/>
      <c r="AM135" s="81"/>
      <c r="AN135" s="81"/>
      <c r="AO135" s="81"/>
      <c r="AP135" s="81"/>
      <c r="AQ135" s="81"/>
      <c r="AR135" s="81"/>
      <c r="AS135" s="81"/>
      <c r="AT135" s="81"/>
      <c r="AU135" s="81"/>
      <c r="AV135" s="81"/>
      <c r="AW135" s="81"/>
      <c r="AX135" s="81"/>
      <c r="AY135" s="81"/>
      <c r="AZ135" s="81"/>
      <c r="BA135" s="81"/>
      <c r="BB135" s="81"/>
      <c r="BC135" s="81"/>
      <c r="BD135" s="81"/>
      <c r="BE135" s="81"/>
      <c r="BF135" s="81"/>
      <c r="BG135" s="81"/>
      <c r="BH135" s="81"/>
      <c r="BI135" s="81"/>
      <c r="BJ135" s="81"/>
    </row>
    <row r="136">
      <c r="A136" s="83">
        <v>45262.0</v>
      </c>
      <c r="B136" s="70">
        <f t="shared" si="11"/>
        <v>13</v>
      </c>
      <c r="C136" s="71">
        <v>22.0</v>
      </c>
      <c r="D136" s="66">
        <v>21.0</v>
      </c>
      <c r="E136" s="66">
        <v>105.0</v>
      </c>
      <c r="F136" s="66">
        <v>33.0</v>
      </c>
      <c r="G136" s="66">
        <v>19.0</v>
      </c>
      <c r="H136" s="66">
        <v>27.0</v>
      </c>
      <c r="I136" s="66">
        <v>30.0</v>
      </c>
      <c r="J136" s="66">
        <v>13.0</v>
      </c>
      <c r="K136" s="84"/>
      <c r="L136" s="66"/>
      <c r="M136" s="66"/>
      <c r="N136" s="66"/>
      <c r="O136" s="66"/>
      <c r="P136" s="66"/>
      <c r="Q136" s="67"/>
      <c r="R136" s="66"/>
      <c r="S136" s="66"/>
      <c r="T136" s="66"/>
      <c r="U136" s="66">
        <v>25.0</v>
      </c>
      <c r="V136" s="66">
        <v>8.0</v>
      </c>
      <c r="W136" s="66">
        <v>5.0</v>
      </c>
      <c r="X136" s="66">
        <v>76.0</v>
      </c>
      <c r="Y136" s="87">
        <v>15.0</v>
      </c>
      <c r="Z136" s="66"/>
      <c r="AA136" s="66"/>
      <c r="AB136" s="72"/>
      <c r="AC136" s="73">
        <v>15.0</v>
      </c>
      <c r="AD136" s="73"/>
      <c r="AE136" s="74"/>
      <c r="AF136" s="75">
        <v>13.0</v>
      </c>
      <c r="AG136" s="73">
        <v>23.0</v>
      </c>
      <c r="AH136" s="76"/>
      <c r="AI136" s="77">
        <f t="shared" si="7"/>
        <v>450</v>
      </c>
      <c r="AJ136" s="78">
        <f t="shared" si="8"/>
        <v>30.69230769</v>
      </c>
      <c r="AK136" s="79">
        <f t="shared" si="9"/>
        <v>28.125</v>
      </c>
      <c r="AL136" s="80"/>
      <c r="AM136" s="81"/>
      <c r="AN136" s="81"/>
      <c r="AO136" s="81"/>
      <c r="AP136" s="81"/>
      <c r="AQ136" s="81"/>
      <c r="AR136" s="81"/>
      <c r="AS136" s="81"/>
      <c r="AT136" s="81"/>
      <c r="AU136" s="81"/>
      <c r="AV136" s="81"/>
      <c r="AW136" s="81"/>
      <c r="AX136" s="81"/>
      <c r="AY136" s="81"/>
      <c r="AZ136" s="81"/>
      <c r="BA136" s="81"/>
      <c r="BB136" s="81"/>
      <c r="BC136" s="81"/>
      <c r="BD136" s="81"/>
      <c r="BE136" s="81"/>
      <c r="BF136" s="81"/>
      <c r="BG136" s="81"/>
      <c r="BH136" s="81"/>
      <c r="BI136" s="81"/>
      <c r="BJ136" s="81"/>
    </row>
    <row r="137">
      <c r="A137" s="83">
        <v>45255.0</v>
      </c>
      <c r="B137" s="70">
        <f t="shared" si="11"/>
        <v>13</v>
      </c>
      <c r="C137" s="71">
        <v>21.0</v>
      </c>
      <c r="D137" s="66">
        <v>10.0</v>
      </c>
      <c r="E137" s="66">
        <v>97.0</v>
      </c>
      <c r="F137" s="66">
        <v>35.0</v>
      </c>
      <c r="G137" s="66">
        <v>17.0</v>
      </c>
      <c r="H137" s="66">
        <v>20.0</v>
      </c>
      <c r="I137" s="66">
        <v>39.0</v>
      </c>
      <c r="J137" s="66">
        <v>19.0</v>
      </c>
      <c r="K137" s="84"/>
      <c r="L137" s="66"/>
      <c r="M137" s="66"/>
      <c r="N137" s="66"/>
      <c r="O137" s="66"/>
      <c r="P137" s="66"/>
      <c r="Q137" s="67"/>
      <c r="R137" s="66"/>
      <c r="S137" s="66"/>
      <c r="T137" s="66"/>
      <c r="U137" s="66">
        <v>27.0</v>
      </c>
      <c r="V137" s="66">
        <v>12.0</v>
      </c>
      <c r="W137" s="66">
        <v>2.0</v>
      </c>
      <c r="X137" s="66">
        <v>75.0</v>
      </c>
      <c r="Y137" s="87">
        <v>19.0</v>
      </c>
      <c r="Z137" s="66"/>
      <c r="AA137" s="66"/>
      <c r="AB137" s="72"/>
      <c r="AC137" s="73">
        <v>45.0</v>
      </c>
      <c r="AD137" s="73"/>
      <c r="AE137" s="74"/>
      <c r="AF137" s="75">
        <v>16.0</v>
      </c>
      <c r="AG137" s="73">
        <v>19.0</v>
      </c>
      <c r="AH137" s="76"/>
      <c r="AI137" s="77">
        <f t="shared" si="7"/>
        <v>473</v>
      </c>
      <c r="AJ137" s="78">
        <f t="shared" si="8"/>
        <v>30.23076923</v>
      </c>
      <c r="AK137" s="79">
        <f t="shared" si="9"/>
        <v>29.5625</v>
      </c>
      <c r="AL137" s="80"/>
      <c r="AM137" s="81"/>
      <c r="AN137" s="81"/>
      <c r="AO137" s="81"/>
      <c r="AP137" s="81"/>
      <c r="AQ137" s="81"/>
      <c r="AR137" s="81"/>
      <c r="AS137" s="81"/>
      <c r="AT137" s="81"/>
      <c r="AU137" s="81"/>
      <c r="AV137" s="81"/>
      <c r="AW137" s="81"/>
      <c r="AX137" s="81"/>
      <c r="AY137" s="81"/>
      <c r="AZ137" s="81"/>
      <c r="BA137" s="81"/>
      <c r="BB137" s="81"/>
      <c r="BC137" s="81"/>
      <c r="BD137" s="81"/>
      <c r="BE137" s="81"/>
      <c r="BF137" s="81"/>
      <c r="BG137" s="81"/>
      <c r="BH137" s="81"/>
      <c r="BI137" s="81"/>
      <c r="BJ137" s="81"/>
    </row>
    <row r="138">
      <c r="A138" s="83">
        <v>45248.0</v>
      </c>
      <c r="B138" s="70">
        <f t="shared" si="11"/>
        <v>13</v>
      </c>
      <c r="C138" s="71">
        <v>21.0</v>
      </c>
      <c r="D138" s="66">
        <v>18.0</v>
      </c>
      <c r="E138" s="66">
        <v>109.0</v>
      </c>
      <c r="F138" s="66">
        <v>37.0</v>
      </c>
      <c r="G138" s="66">
        <v>18.0</v>
      </c>
      <c r="H138" s="66">
        <v>30.0</v>
      </c>
      <c r="I138" s="66">
        <v>39.0</v>
      </c>
      <c r="J138" s="66">
        <v>13.0</v>
      </c>
      <c r="K138" s="84"/>
      <c r="L138" s="66"/>
      <c r="M138" s="66"/>
      <c r="N138" s="66"/>
      <c r="O138" s="66"/>
      <c r="P138" s="66"/>
      <c r="Q138" s="67"/>
      <c r="R138" s="66"/>
      <c r="S138" s="66"/>
      <c r="T138" s="66"/>
      <c r="U138" s="66">
        <v>27.0</v>
      </c>
      <c r="V138" s="66">
        <v>14.0</v>
      </c>
      <c r="W138" s="66">
        <v>2.0</v>
      </c>
      <c r="X138" s="66">
        <v>200.0</v>
      </c>
      <c r="Y138" s="87">
        <v>22.0</v>
      </c>
      <c r="Z138" s="66"/>
      <c r="AA138" s="66"/>
      <c r="AB138" s="72"/>
      <c r="AC138" s="73">
        <v>14.0</v>
      </c>
      <c r="AD138" s="73"/>
      <c r="AE138" s="74"/>
      <c r="AF138" s="75">
        <v>22.0</v>
      </c>
      <c r="AG138" s="73">
        <v>23.0</v>
      </c>
      <c r="AH138" s="76"/>
      <c r="AI138" s="77">
        <f t="shared" si="7"/>
        <v>609</v>
      </c>
      <c r="AJ138" s="78">
        <f t="shared" si="8"/>
        <v>42.30769231</v>
      </c>
      <c r="AK138" s="79">
        <f t="shared" si="9"/>
        <v>38.0625</v>
      </c>
      <c r="AL138" s="80"/>
      <c r="AM138" s="81"/>
      <c r="AN138" s="81"/>
      <c r="AO138" s="81"/>
      <c r="AP138" s="81"/>
      <c r="AQ138" s="81"/>
      <c r="AR138" s="81"/>
      <c r="AS138" s="81"/>
      <c r="AT138" s="81"/>
      <c r="AU138" s="81"/>
      <c r="AV138" s="81"/>
      <c r="AW138" s="81"/>
      <c r="AX138" s="81"/>
      <c r="AY138" s="81"/>
      <c r="AZ138" s="81"/>
      <c r="BA138" s="81"/>
      <c r="BB138" s="81"/>
      <c r="BC138" s="81"/>
      <c r="BD138" s="81"/>
      <c r="BE138" s="81"/>
      <c r="BF138" s="81"/>
      <c r="BG138" s="81"/>
      <c r="BH138" s="81"/>
      <c r="BI138" s="81"/>
      <c r="BJ138" s="81"/>
    </row>
    <row r="139">
      <c r="A139" s="83">
        <v>45241.0</v>
      </c>
      <c r="B139" s="70">
        <f t="shared" si="11"/>
        <v>13</v>
      </c>
      <c r="C139" s="71">
        <v>39.0</v>
      </c>
      <c r="D139" s="66">
        <v>13.0</v>
      </c>
      <c r="E139" s="66">
        <v>119.0</v>
      </c>
      <c r="F139" s="66">
        <v>59.0</v>
      </c>
      <c r="G139" s="66">
        <v>33.0</v>
      </c>
      <c r="H139" s="66">
        <v>39.0</v>
      </c>
      <c r="I139" s="66">
        <v>56.0</v>
      </c>
      <c r="J139" s="66">
        <v>30.0</v>
      </c>
      <c r="K139" s="84"/>
      <c r="L139" s="66"/>
      <c r="M139" s="66"/>
      <c r="N139" s="66"/>
      <c r="O139" s="66"/>
      <c r="P139" s="66"/>
      <c r="Q139" s="67"/>
      <c r="R139" s="66"/>
      <c r="S139" s="66"/>
      <c r="T139" s="66"/>
      <c r="U139" s="66">
        <v>37.0</v>
      </c>
      <c r="V139" s="66">
        <v>16.0</v>
      </c>
      <c r="W139" s="66">
        <v>3.0</v>
      </c>
      <c r="X139" s="66">
        <v>96.0</v>
      </c>
      <c r="Y139" s="87">
        <v>19.0</v>
      </c>
      <c r="Z139" s="66"/>
      <c r="AA139" s="66"/>
      <c r="AB139" s="72"/>
      <c r="AC139" s="73">
        <v>9.0</v>
      </c>
      <c r="AD139" s="73"/>
      <c r="AE139" s="74"/>
      <c r="AF139" s="75">
        <v>21.0</v>
      </c>
      <c r="AG139" s="73">
        <v>17.0</v>
      </c>
      <c r="AH139" s="76"/>
      <c r="AI139" s="77">
        <f t="shared" si="7"/>
        <v>606</v>
      </c>
      <c r="AJ139" s="78">
        <f t="shared" si="8"/>
        <v>43</v>
      </c>
      <c r="AK139" s="79">
        <f t="shared" si="9"/>
        <v>37.875</v>
      </c>
      <c r="AL139" s="80"/>
      <c r="AM139" s="81"/>
      <c r="AN139" s="81"/>
      <c r="AO139" s="81"/>
      <c r="AP139" s="81"/>
      <c r="AQ139" s="81"/>
      <c r="AR139" s="81"/>
      <c r="AS139" s="81"/>
      <c r="AT139" s="81"/>
      <c r="AU139" s="81"/>
      <c r="AV139" s="81"/>
      <c r="AW139" s="81"/>
      <c r="AX139" s="81"/>
      <c r="AY139" s="81"/>
      <c r="AZ139" s="81"/>
      <c r="BA139" s="81"/>
      <c r="BB139" s="81"/>
      <c r="BC139" s="81"/>
      <c r="BD139" s="81"/>
      <c r="BE139" s="81"/>
      <c r="BF139" s="81"/>
      <c r="BG139" s="81"/>
      <c r="BH139" s="81"/>
      <c r="BI139" s="81"/>
      <c r="BJ139" s="81"/>
    </row>
    <row r="140">
      <c r="A140" s="83">
        <v>45234.0</v>
      </c>
      <c r="B140" s="70">
        <f t="shared" si="11"/>
        <v>13</v>
      </c>
      <c r="C140" s="71">
        <v>29.0</v>
      </c>
      <c r="D140" s="66">
        <v>10.0</v>
      </c>
      <c r="E140" s="66">
        <v>100.0</v>
      </c>
      <c r="F140" s="66">
        <v>54.0</v>
      </c>
      <c r="G140" s="66">
        <v>11.0</v>
      </c>
      <c r="H140" s="66">
        <v>46.0</v>
      </c>
      <c r="I140" s="66">
        <v>37.0</v>
      </c>
      <c r="J140" s="66">
        <v>30.0</v>
      </c>
      <c r="K140" s="84"/>
      <c r="L140" s="66"/>
      <c r="M140" s="66"/>
      <c r="N140" s="66"/>
      <c r="O140" s="66"/>
      <c r="P140" s="66"/>
      <c r="Q140" s="67"/>
      <c r="R140" s="66"/>
      <c r="S140" s="66"/>
      <c r="T140" s="66"/>
      <c r="U140" s="66">
        <v>26.0</v>
      </c>
      <c r="V140" s="66">
        <v>19.0</v>
      </c>
      <c r="W140" s="66">
        <v>5.0</v>
      </c>
      <c r="X140" s="66">
        <v>63.0</v>
      </c>
      <c r="Y140" s="87">
        <v>24.0</v>
      </c>
      <c r="Z140" s="66"/>
      <c r="AA140" s="66"/>
      <c r="AB140" s="72"/>
      <c r="AC140" s="73">
        <v>12.0</v>
      </c>
      <c r="AD140" s="73"/>
      <c r="AE140" s="74"/>
      <c r="AF140" s="75">
        <v>17.0</v>
      </c>
      <c r="AG140" s="73">
        <v>19.0</v>
      </c>
      <c r="AH140" s="76"/>
      <c r="AI140" s="77">
        <f t="shared" si="7"/>
        <v>502</v>
      </c>
      <c r="AJ140" s="78">
        <f t="shared" si="8"/>
        <v>34.92307692</v>
      </c>
      <c r="AK140" s="79">
        <f t="shared" si="9"/>
        <v>31.375</v>
      </c>
      <c r="AL140" s="80"/>
      <c r="AM140" s="81"/>
      <c r="AN140" s="81"/>
      <c r="AO140" s="81"/>
      <c r="AP140" s="81"/>
      <c r="AQ140" s="81"/>
      <c r="AR140" s="81"/>
      <c r="AS140" s="81"/>
      <c r="AT140" s="81"/>
      <c r="AU140" s="81"/>
      <c r="AV140" s="81"/>
      <c r="AW140" s="81"/>
      <c r="AX140" s="81"/>
      <c r="AY140" s="81"/>
      <c r="AZ140" s="81"/>
      <c r="BA140" s="81"/>
      <c r="BB140" s="81"/>
      <c r="BC140" s="81"/>
      <c r="BD140" s="81"/>
      <c r="BE140" s="81"/>
      <c r="BF140" s="81"/>
      <c r="BG140" s="81"/>
      <c r="BH140" s="81"/>
      <c r="BI140" s="81"/>
      <c r="BJ140" s="81"/>
    </row>
    <row r="141">
      <c r="A141" s="90">
        <v>45227.0</v>
      </c>
      <c r="B141" s="70">
        <f t="shared" si="11"/>
        <v>13</v>
      </c>
      <c r="C141" s="71">
        <v>19.0</v>
      </c>
      <c r="D141" s="66">
        <v>11.0</v>
      </c>
      <c r="E141" s="66">
        <v>65.0</v>
      </c>
      <c r="F141" s="66">
        <v>38.0</v>
      </c>
      <c r="G141" s="66">
        <v>18.0</v>
      </c>
      <c r="H141" s="66">
        <v>43.0</v>
      </c>
      <c r="I141" s="66">
        <v>34.0</v>
      </c>
      <c r="J141" s="66">
        <v>39.0</v>
      </c>
      <c r="K141" s="84"/>
      <c r="L141" s="66"/>
      <c r="M141" s="66"/>
      <c r="N141" s="66"/>
      <c r="O141" s="66"/>
      <c r="P141" s="66"/>
      <c r="Q141" s="67"/>
      <c r="R141" s="66"/>
      <c r="S141" s="66"/>
      <c r="T141" s="66"/>
      <c r="U141" s="66">
        <v>16.0</v>
      </c>
      <c r="V141" s="66">
        <v>16.0</v>
      </c>
      <c r="W141" s="66">
        <v>9.0</v>
      </c>
      <c r="X141" s="66">
        <v>78.0</v>
      </c>
      <c r="Y141" s="87">
        <v>24.0</v>
      </c>
      <c r="Z141" s="66"/>
      <c r="AA141" s="66"/>
      <c r="AB141" s="72"/>
      <c r="AC141" s="73">
        <v>6.0</v>
      </c>
      <c r="AD141" s="73"/>
      <c r="AE141" s="74"/>
      <c r="AF141" s="75">
        <v>20.0</v>
      </c>
      <c r="AG141" s="73">
        <v>23.0</v>
      </c>
      <c r="AH141" s="76"/>
      <c r="AI141" s="77">
        <f t="shared" si="7"/>
        <v>459</v>
      </c>
      <c r="AJ141" s="78">
        <f t="shared" si="8"/>
        <v>31.53846154</v>
      </c>
      <c r="AK141" s="79">
        <f t="shared" si="9"/>
        <v>28.6875</v>
      </c>
      <c r="AL141" s="80"/>
      <c r="AM141" s="81"/>
      <c r="AN141" s="81"/>
      <c r="AO141" s="81"/>
      <c r="AP141" s="81"/>
      <c r="AQ141" s="81"/>
      <c r="AR141" s="81"/>
      <c r="AS141" s="81"/>
      <c r="AT141" s="81"/>
      <c r="AU141" s="81"/>
      <c r="AV141" s="81"/>
      <c r="AW141" s="81"/>
      <c r="AX141" s="81"/>
      <c r="AY141" s="81"/>
      <c r="AZ141" s="81"/>
      <c r="BA141" s="81"/>
      <c r="BB141" s="81"/>
      <c r="BC141" s="81"/>
      <c r="BD141" s="81"/>
      <c r="BE141" s="81"/>
      <c r="BF141" s="81"/>
      <c r="BG141" s="81"/>
      <c r="BH141" s="81"/>
      <c r="BI141" s="81"/>
      <c r="BJ141" s="81"/>
    </row>
    <row r="142">
      <c r="A142" s="90">
        <v>45220.0</v>
      </c>
      <c r="B142" s="70">
        <f t="shared" si="11"/>
        <v>12</v>
      </c>
      <c r="C142" s="71">
        <v>19.0</v>
      </c>
      <c r="D142" s="66">
        <v>13.0</v>
      </c>
      <c r="E142" s="66">
        <v>110.0</v>
      </c>
      <c r="F142" s="66">
        <v>57.0</v>
      </c>
      <c r="G142" s="66">
        <v>21.0</v>
      </c>
      <c r="H142" s="66">
        <v>40.0</v>
      </c>
      <c r="I142" s="66">
        <v>34.0</v>
      </c>
      <c r="J142" s="66">
        <v>37.0</v>
      </c>
      <c r="K142" s="84"/>
      <c r="L142" s="66"/>
      <c r="M142" s="66"/>
      <c r="N142" s="66"/>
      <c r="O142" s="66"/>
      <c r="P142" s="66"/>
      <c r="Q142" s="67"/>
      <c r="R142" s="66"/>
      <c r="S142" s="66"/>
      <c r="T142" s="66"/>
      <c r="U142" s="66">
        <v>26.0</v>
      </c>
      <c r="V142" s="66"/>
      <c r="W142" s="66">
        <v>4.0</v>
      </c>
      <c r="X142" s="66">
        <v>98.0</v>
      </c>
      <c r="Y142" s="87">
        <v>16.0</v>
      </c>
      <c r="Z142" s="66"/>
      <c r="AA142" s="66"/>
      <c r="AB142" s="72"/>
      <c r="AC142" s="73"/>
      <c r="AD142" s="73"/>
      <c r="AE142" s="74"/>
      <c r="AF142" s="75"/>
      <c r="AG142" s="73"/>
      <c r="AH142" s="76"/>
      <c r="AI142" s="77">
        <f t="shared" si="7"/>
        <v>475</v>
      </c>
      <c r="AJ142" s="78">
        <f t="shared" si="8"/>
        <v>39.58333333</v>
      </c>
      <c r="AK142" s="79">
        <f t="shared" si="9"/>
        <v>39.58333333</v>
      </c>
      <c r="AL142" s="80"/>
      <c r="AM142" s="81"/>
      <c r="AN142" s="81"/>
      <c r="AO142" s="81"/>
      <c r="AP142" s="81"/>
      <c r="AQ142" s="81"/>
      <c r="AR142" s="81"/>
      <c r="AS142" s="81"/>
      <c r="AT142" s="81"/>
      <c r="AU142" s="81"/>
      <c r="AV142" s="81"/>
      <c r="AW142" s="81"/>
      <c r="AX142" s="81"/>
      <c r="AY142" s="81"/>
      <c r="AZ142" s="81"/>
      <c r="BA142" s="81"/>
      <c r="BB142" s="81"/>
      <c r="BC142" s="81"/>
      <c r="BD142" s="81"/>
      <c r="BE142" s="81"/>
      <c r="BF142" s="81"/>
      <c r="BG142" s="81"/>
      <c r="BH142" s="81"/>
      <c r="BI142" s="81"/>
      <c r="BJ142" s="81"/>
    </row>
    <row r="143">
      <c r="A143" s="90">
        <v>45213.0</v>
      </c>
      <c r="B143" s="70">
        <f t="shared" si="11"/>
        <v>13</v>
      </c>
      <c r="C143" s="71">
        <v>30.0</v>
      </c>
      <c r="D143" s="66">
        <v>18.0</v>
      </c>
      <c r="E143" s="66">
        <v>94.0</v>
      </c>
      <c r="F143" s="66">
        <v>54.0</v>
      </c>
      <c r="G143" s="66">
        <v>11.0</v>
      </c>
      <c r="H143" s="66">
        <v>33.0</v>
      </c>
      <c r="I143" s="66">
        <v>55.0</v>
      </c>
      <c r="J143" s="66">
        <v>46.0</v>
      </c>
      <c r="K143" s="84"/>
      <c r="L143" s="66"/>
      <c r="M143" s="66"/>
      <c r="N143" s="66"/>
      <c r="O143" s="66"/>
      <c r="P143" s="66"/>
      <c r="Q143" s="67"/>
      <c r="R143" s="66"/>
      <c r="S143" s="66"/>
      <c r="T143" s="66"/>
      <c r="U143" s="66">
        <v>17.0</v>
      </c>
      <c r="V143" s="66">
        <v>13.0</v>
      </c>
      <c r="W143" s="66">
        <v>4.0</v>
      </c>
      <c r="X143" s="66">
        <v>61.0</v>
      </c>
      <c r="Y143" s="87">
        <v>30.0</v>
      </c>
      <c r="Z143" s="66"/>
      <c r="AA143" s="66"/>
      <c r="AB143" s="72"/>
      <c r="AC143" s="73"/>
      <c r="AD143" s="73"/>
      <c r="AE143" s="74"/>
      <c r="AF143" s="75"/>
      <c r="AG143" s="73"/>
      <c r="AH143" s="76"/>
      <c r="AI143" s="77">
        <f t="shared" si="7"/>
        <v>466</v>
      </c>
      <c r="AJ143" s="78">
        <f t="shared" si="8"/>
        <v>35.84615385</v>
      </c>
      <c r="AK143" s="79">
        <f t="shared" si="9"/>
        <v>35.84615385</v>
      </c>
      <c r="AL143" s="80"/>
      <c r="AM143" s="81"/>
      <c r="AN143" s="81"/>
      <c r="AO143" s="81"/>
      <c r="AP143" s="81"/>
      <c r="AQ143" s="81"/>
      <c r="AR143" s="81"/>
      <c r="AS143" s="81"/>
      <c r="AT143" s="81"/>
      <c r="AU143" s="81"/>
      <c r="AV143" s="81"/>
      <c r="AW143" s="81"/>
      <c r="AX143" s="81"/>
      <c r="AY143" s="81"/>
      <c r="AZ143" s="81"/>
      <c r="BA143" s="81"/>
      <c r="BB143" s="81"/>
      <c r="BC143" s="81"/>
      <c r="BD143" s="81"/>
      <c r="BE143" s="81"/>
      <c r="BF143" s="81"/>
      <c r="BG143" s="81"/>
      <c r="BH143" s="81"/>
      <c r="BI143" s="81"/>
      <c r="BJ143" s="81"/>
    </row>
    <row r="144">
      <c r="A144" s="90">
        <v>45206.0</v>
      </c>
      <c r="B144" s="70">
        <f t="shared" si="11"/>
        <v>13</v>
      </c>
      <c r="C144" s="71">
        <v>31.0</v>
      </c>
      <c r="D144" s="66">
        <v>9.0</v>
      </c>
      <c r="E144" s="66">
        <v>68.0</v>
      </c>
      <c r="F144" s="66">
        <v>46.0</v>
      </c>
      <c r="G144" s="66">
        <v>17.0</v>
      </c>
      <c r="H144" s="66">
        <v>23.0</v>
      </c>
      <c r="I144" s="66">
        <v>36.0</v>
      </c>
      <c r="J144" s="66">
        <v>37.0</v>
      </c>
      <c r="K144" s="84"/>
      <c r="L144" s="66"/>
      <c r="M144" s="66"/>
      <c r="N144" s="66"/>
      <c r="O144" s="66"/>
      <c r="P144" s="66"/>
      <c r="Q144" s="67"/>
      <c r="R144" s="66"/>
      <c r="S144" s="66"/>
      <c r="T144" s="66"/>
      <c r="U144" s="66">
        <v>23.0</v>
      </c>
      <c r="V144" s="66">
        <v>12.0</v>
      </c>
      <c r="W144" s="66">
        <v>4.0</v>
      </c>
      <c r="X144" s="66">
        <v>32.0</v>
      </c>
      <c r="Y144" s="87">
        <v>26.0</v>
      </c>
      <c r="Z144" s="66"/>
      <c r="AA144" s="66"/>
      <c r="AB144" s="72"/>
      <c r="AC144" s="73"/>
      <c r="AD144" s="73"/>
      <c r="AE144" s="74"/>
      <c r="AF144" s="75"/>
      <c r="AG144" s="73"/>
      <c r="AH144" s="76"/>
      <c r="AI144" s="77">
        <f t="shared" si="7"/>
        <v>364</v>
      </c>
      <c r="AJ144" s="78">
        <f t="shared" si="8"/>
        <v>28</v>
      </c>
      <c r="AK144" s="79">
        <f t="shared" si="9"/>
        <v>28</v>
      </c>
      <c r="AL144" s="80"/>
      <c r="AM144" s="81"/>
      <c r="AN144" s="81"/>
      <c r="AO144" s="81"/>
      <c r="AP144" s="81"/>
      <c r="AQ144" s="81"/>
      <c r="AR144" s="81"/>
      <c r="AS144" s="81"/>
      <c r="AT144" s="81"/>
      <c r="AU144" s="81"/>
      <c r="AV144" s="81"/>
      <c r="AW144" s="81"/>
      <c r="AX144" s="81"/>
      <c r="AY144" s="81"/>
      <c r="AZ144" s="81"/>
      <c r="BA144" s="81"/>
      <c r="BB144" s="81"/>
      <c r="BC144" s="81"/>
      <c r="BD144" s="81"/>
      <c r="BE144" s="81"/>
      <c r="BF144" s="81"/>
      <c r="BG144" s="81"/>
      <c r="BH144" s="81"/>
      <c r="BI144" s="81"/>
      <c r="BJ144" s="81"/>
    </row>
    <row r="145">
      <c r="A145" s="90">
        <v>45199.0</v>
      </c>
      <c r="B145" s="70">
        <f t="shared" si="11"/>
        <v>13</v>
      </c>
      <c r="C145" s="71">
        <v>36.0</v>
      </c>
      <c r="D145" s="66">
        <v>41.0</v>
      </c>
      <c r="E145" s="66">
        <v>124.0</v>
      </c>
      <c r="F145" s="66">
        <v>60.0</v>
      </c>
      <c r="G145" s="66">
        <v>14.0</v>
      </c>
      <c r="H145" s="66">
        <v>54.0</v>
      </c>
      <c r="I145" s="66">
        <v>53.0</v>
      </c>
      <c r="J145" s="66">
        <v>37.0</v>
      </c>
      <c r="K145" s="84"/>
      <c r="L145" s="66"/>
      <c r="M145" s="66"/>
      <c r="N145" s="66"/>
      <c r="O145" s="66"/>
      <c r="P145" s="66"/>
      <c r="Q145" s="67"/>
      <c r="R145" s="66"/>
      <c r="S145" s="66"/>
      <c r="T145" s="66"/>
      <c r="U145" s="66">
        <v>28.0</v>
      </c>
      <c r="V145" s="66">
        <v>13.0</v>
      </c>
      <c r="W145" s="66">
        <v>3.0</v>
      </c>
      <c r="X145" s="66">
        <v>116.0</v>
      </c>
      <c r="Y145" s="87">
        <v>31.0</v>
      </c>
      <c r="Z145" s="66"/>
      <c r="AA145" s="66"/>
      <c r="AB145" s="72"/>
      <c r="AC145" s="73"/>
      <c r="AD145" s="73"/>
      <c r="AE145" s="74"/>
      <c r="AF145" s="75"/>
      <c r="AG145" s="73"/>
      <c r="AH145" s="76"/>
      <c r="AI145" s="77">
        <f t="shared" si="7"/>
        <v>610</v>
      </c>
      <c r="AJ145" s="78">
        <f t="shared" si="8"/>
        <v>46.92307692</v>
      </c>
      <c r="AK145" s="79">
        <f t="shared" si="9"/>
        <v>46.92307692</v>
      </c>
      <c r="AL145" s="80"/>
      <c r="AM145" s="81"/>
      <c r="AN145" s="81"/>
      <c r="AO145" s="81"/>
      <c r="AP145" s="81"/>
      <c r="AQ145" s="81"/>
      <c r="AR145" s="81"/>
      <c r="AS145" s="81"/>
      <c r="AT145" s="81"/>
      <c r="AU145" s="81"/>
      <c r="AV145" s="81"/>
      <c r="AW145" s="81"/>
      <c r="AX145" s="81"/>
      <c r="AY145" s="81"/>
      <c r="AZ145" s="81"/>
      <c r="BA145" s="81"/>
      <c r="BB145" s="81"/>
      <c r="BC145" s="81"/>
      <c r="BD145" s="81"/>
      <c r="BE145" s="81"/>
      <c r="BF145" s="81"/>
      <c r="BG145" s="81"/>
      <c r="BH145" s="81"/>
      <c r="BI145" s="81"/>
      <c r="BJ145" s="81"/>
    </row>
    <row r="146">
      <c r="A146" s="90">
        <v>45192.0</v>
      </c>
      <c r="B146" s="70">
        <f t="shared" si="11"/>
        <v>12</v>
      </c>
      <c r="C146" s="71">
        <v>41.0</v>
      </c>
      <c r="D146" s="66"/>
      <c r="E146" s="66">
        <v>105.0</v>
      </c>
      <c r="F146" s="66">
        <v>55.0</v>
      </c>
      <c r="G146" s="66">
        <v>16.0</v>
      </c>
      <c r="H146" s="66">
        <v>56.0</v>
      </c>
      <c r="I146" s="66">
        <v>85.0</v>
      </c>
      <c r="J146" s="66">
        <v>37.0</v>
      </c>
      <c r="K146" s="84"/>
      <c r="L146" s="66"/>
      <c r="M146" s="66"/>
      <c r="N146" s="66"/>
      <c r="O146" s="66"/>
      <c r="P146" s="66"/>
      <c r="Q146" s="67"/>
      <c r="R146" s="66"/>
      <c r="S146" s="66"/>
      <c r="T146" s="66"/>
      <c r="U146" s="66">
        <v>8.0</v>
      </c>
      <c r="V146" s="66">
        <v>22.0</v>
      </c>
      <c r="W146" s="66">
        <v>4.0</v>
      </c>
      <c r="X146" s="66">
        <v>107.0</v>
      </c>
      <c r="Y146" s="87">
        <v>34.0</v>
      </c>
      <c r="Z146" s="66"/>
      <c r="AA146" s="66"/>
      <c r="AB146" s="72"/>
      <c r="AC146" s="73"/>
      <c r="AD146" s="73"/>
      <c r="AE146" s="74"/>
      <c r="AF146" s="75"/>
      <c r="AG146" s="73"/>
      <c r="AH146" s="76"/>
      <c r="AI146" s="77">
        <f t="shared" si="7"/>
        <v>570</v>
      </c>
      <c r="AJ146" s="78">
        <f t="shared" si="8"/>
        <v>47.5</v>
      </c>
      <c r="AK146" s="79">
        <f t="shared" si="9"/>
        <v>47.5</v>
      </c>
      <c r="AL146" s="80"/>
      <c r="AM146" s="81"/>
      <c r="AN146" s="81"/>
      <c r="AO146" s="81"/>
      <c r="AP146" s="81"/>
      <c r="AQ146" s="81"/>
      <c r="AR146" s="81"/>
      <c r="AS146" s="81"/>
      <c r="AT146" s="81"/>
      <c r="AU146" s="81"/>
      <c r="AV146" s="81"/>
      <c r="AW146" s="81"/>
      <c r="AX146" s="81"/>
      <c r="AY146" s="81"/>
      <c r="AZ146" s="81"/>
      <c r="BA146" s="81"/>
      <c r="BB146" s="81"/>
      <c r="BC146" s="81"/>
      <c r="BD146" s="81"/>
      <c r="BE146" s="81"/>
      <c r="BF146" s="81"/>
      <c r="BG146" s="81"/>
      <c r="BH146" s="81"/>
      <c r="BI146" s="81"/>
      <c r="BJ146" s="81"/>
    </row>
    <row r="147">
      <c r="A147" s="90">
        <v>45185.0</v>
      </c>
      <c r="B147" s="70">
        <f t="shared" si="11"/>
        <v>12</v>
      </c>
      <c r="C147" s="71">
        <v>39.0</v>
      </c>
      <c r="D147" s="66"/>
      <c r="E147" s="66">
        <v>160.0</v>
      </c>
      <c r="F147" s="66">
        <v>57.0</v>
      </c>
      <c r="G147" s="66">
        <v>13.0</v>
      </c>
      <c r="H147" s="66">
        <v>57.0</v>
      </c>
      <c r="I147" s="66">
        <v>77.0</v>
      </c>
      <c r="J147" s="66">
        <v>57.0</v>
      </c>
      <c r="K147" s="84"/>
      <c r="L147" s="66"/>
      <c r="M147" s="66"/>
      <c r="N147" s="66"/>
      <c r="O147" s="66"/>
      <c r="P147" s="66"/>
      <c r="Q147" s="67"/>
      <c r="R147" s="66"/>
      <c r="S147" s="66"/>
      <c r="T147" s="66"/>
      <c r="U147" s="66">
        <v>23.0</v>
      </c>
      <c r="V147" s="66">
        <v>9.0</v>
      </c>
      <c r="W147" s="66">
        <v>6.0</v>
      </c>
      <c r="X147" s="66">
        <v>36.0</v>
      </c>
      <c r="Y147" s="87">
        <v>8.0</v>
      </c>
      <c r="Z147" s="66"/>
      <c r="AA147" s="66"/>
      <c r="AB147" s="72"/>
      <c r="AC147" s="73">
        <v>19.0</v>
      </c>
      <c r="AD147" s="73"/>
      <c r="AE147" s="74"/>
      <c r="AF147" s="75"/>
      <c r="AG147" s="73"/>
      <c r="AH147" s="76"/>
      <c r="AI147" s="77">
        <f t="shared" si="7"/>
        <v>561</v>
      </c>
      <c r="AJ147" s="78">
        <f t="shared" si="8"/>
        <v>45.16666667</v>
      </c>
      <c r="AK147" s="79">
        <f t="shared" si="9"/>
        <v>43.15384615</v>
      </c>
      <c r="AL147" s="80"/>
      <c r="AM147" s="81"/>
      <c r="AN147" s="81"/>
      <c r="AO147" s="81"/>
      <c r="AP147" s="81"/>
      <c r="AQ147" s="81"/>
      <c r="AR147" s="81"/>
      <c r="AS147" s="81"/>
      <c r="AT147" s="81"/>
      <c r="AU147" s="81"/>
      <c r="AV147" s="81"/>
      <c r="AW147" s="81"/>
      <c r="AX147" s="81"/>
      <c r="AY147" s="81"/>
      <c r="AZ147" s="81"/>
      <c r="BA147" s="81"/>
      <c r="BB147" s="81"/>
      <c r="BC147" s="81"/>
      <c r="BD147" s="81"/>
      <c r="BE147" s="81"/>
      <c r="BF147" s="81"/>
      <c r="BG147" s="81"/>
      <c r="BH147" s="81"/>
      <c r="BI147" s="81"/>
      <c r="BJ147" s="81"/>
    </row>
    <row r="148">
      <c r="A148" s="90">
        <v>45178.0</v>
      </c>
      <c r="B148" s="70">
        <f t="shared" si="11"/>
        <v>12</v>
      </c>
      <c r="C148" s="71">
        <v>31.0</v>
      </c>
      <c r="D148" s="66"/>
      <c r="E148" s="66">
        <v>101.0</v>
      </c>
      <c r="F148" s="66">
        <v>55.0</v>
      </c>
      <c r="G148" s="66">
        <v>20.0</v>
      </c>
      <c r="H148" s="66">
        <v>46.0</v>
      </c>
      <c r="I148" s="66">
        <v>64.0</v>
      </c>
      <c r="J148" s="66">
        <v>37.0</v>
      </c>
      <c r="K148" s="84"/>
      <c r="L148" s="66"/>
      <c r="M148" s="66"/>
      <c r="N148" s="66"/>
      <c r="O148" s="66"/>
      <c r="P148" s="66"/>
      <c r="Q148" s="67"/>
      <c r="R148" s="66"/>
      <c r="S148" s="66"/>
      <c r="T148" s="66"/>
      <c r="U148" s="66">
        <v>25.0</v>
      </c>
      <c r="V148" s="66">
        <v>15.0</v>
      </c>
      <c r="W148" s="66">
        <v>7.0</v>
      </c>
      <c r="X148" s="66">
        <v>71.0</v>
      </c>
      <c r="Y148" s="87">
        <v>28.0</v>
      </c>
      <c r="Z148" s="66"/>
      <c r="AA148" s="66"/>
      <c r="AB148" s="72"/>
      <c r="AC148" s="73">
        <v>17.0</v>
      </c>
      <c r="AD148" s="73"/>
      <c r="AE148" s="74"/>
      <c r="AF148" s="75"/>
      <c r="AG148" s="73"/>
      <c r="AH148" s="76"/>
      <c r="AI148" s="77">
        <f t="shared" si="7"/>
        <v>517</v>
      </c>
      <c r="AJ148" s="78">
        <f t="shared" si="8"/>
        <v>41.66666667</v>
      </c>
      <c r="AK148" s="79">
        <f t="shared" si="9"/>
        <v>39.76923077</v>
      </c>
      <c r="AL148" s="80"/>
      <c r="AM148" s="81"/>
      <c r="AN148" s="81"/>
      <c r="AO148" s="81"/>
      <c r="AP148" s="81"/>
      <c r="AQ148" s="81"/>
      <c r="AR148" s="81"/>
      <c r="AS148" s="81"/>
      <c r="AT148" s="81"/>
      <c r="AU148" s="81"/>
      <c r="AV148" s="81"/>
      <c r="AW148" s="81"/>
      <c r="AX148" s="81"/>
      <c r="AY148" s="81"/>
      <c r="AZ148" s="81"/>
      <c r="BA148" s="81"/>
      <c r="BB148" s="81"/>
      <c r="BC148" s="81"/>
      <c r="BD148" s="81"/>
      <c r="BE148" s="81"/>
      <c r="BF148" s="81"/>
      <c r="BG148" s="81"/>
      <c r="BH148" s="81"/>
      <c r="BI148" s="81"/>
      <c r="BJ148" s="81"/>
    </row>
    <row r="149">
      <c r="A149" s="90">
        <v>45171.0</v>
      </c>
      <c r="B149" s="70">
        <f t="shared" si="11"/>
        <v>12</v>
      </c>
      <c r="C149" s="71">
        <v>25.0</v>
      </c>
      <c r="D149" s="66"/>
      <c r="E149" s="66">
        <v>85.0</v>
      </c>
      <c r="F149" s="66">
        <v>51.0</v>
      </c>
      <c r="G149" s="66">
        <v>16.0</v>
      </c>
      <c r="H149" s="66">
        <v>49.0</v>
      </c>
      <c r="I149" s="66">
        <v>68.0</v>
      </c>
      <c r="J149" s="66">
        <v>41.0</v>
      </c>
      <c r="K149" s="84"/>
      <c r="L149" s="66"/>
      <c r="M149" s="66"/>
      <c r="N149" s="66"/>
      <c r="O149" s="66"/>
      <c r="P149" s="66"/>
      <c r="Q149" s="67"/>
      <c r="R149" s="66"/>
      <c r="S149" s="66"/>
      <c r="T149" s="66"/>
      <c r="U149" s="66">
        <v>24.0</v>
      </c>
      <c r="V149" s="66">
        <v>18.0</v>
      </c>
      <c r="W149" s="66">
        <v>18.0</v>
      </c>
      <c r="X149" s="66">
        <v>72.0</v>
      </c>
      <c r="Y149" s="87">
        <v>19.0</v>
      </c>
      <c r="Z149" s="66"/>
      <c r="AA149" s="66"/>
      <c r="AB149" s="72"/>
      <c r="AC149" s="73">
        <v>10.0</v>
      </c>
      <c r="AD149" s="73"/>
      <c r="AE149" s="74"/>
      <c r="AF149" s="75"/>
      <c r="AG149" s="73"/>
      <c r="AH149" s="76"/>
      <c r="AI149" s="77">
        <f t="shared" si="7"/>
        <v>496</v>
      </c>
      <c r="AJ149" s="78">
        <f t="shared" si="8"/>
        <v>40.5</v>
      </c>
      <c r="AK149" s="79">
        <f t="shared" si="9"/>
        <v>38.15384615</v>
      </c>
      <c r="AL149" s="80"/>
      <c r="AM149" s="81"/>
      <c r="AN149" s="81"/>
      <c r="AO149" s="81"/>
      <c r="AP149" s="81"/>
      <c r="AQ149" s="81"/>
      <c r="AR149" s="81"/>
      <c r="AS149" s="81"/>
      <c r="AT149" s="81"/>
      <c r="AU149" s="81"/>
      <c r="AV149" s="81"/>
      <c r="AW149" s="81"/>
      <c r="AX149" s="81"/>
      <c r="AY149" s="81"/>
      <c r="AZ149" s="81"/>
      <c r="BA149" s="81"/>
      <c r="BB149" s="81"/>
      <c r="BC149" s="81"/>
      <c r="BD149" s="81"/>
      <c r="BE149" s="81"/>
      <c r="BF149" s="81"/>
      <c r="BG149" s="81"/>
      <c r="BH149" s="81"/>
      <c r="BI149" s="81"/>
      <c r="BJ149" s="81"/>
    </row>
    <row r="150">
      <c r="A150" s="90">
        <v>45164.0</v>
      </c>
      <c r="B150" s="70">
        <f t="shared" si="11"/>
        <v>12</v>
      </c>
      <c r="C150" s="71">
        <v>30.0</v>
      </c>
      <c r="D150" s="66"/>
      <c r="E150" s="66">
        <v>106.0</v>
      </c>
      <c r="F150" s="66">
        <v>50.0</v>
      </c>
      <c r="G150" s="66">
        <v>18.0</v>
      </c>
      <c r="H150" s="66">
        <v>95.0</v>
      </c>
      <c r="I150" s="66">
        <v>51.0</v>
      </c>
      <c r="J150" s="66">
        <v>49.0</v>
      </c>
      <c r="K150" s="84"/>
      <c r="L150" s="66"/>
      <c r="M150" s="66"/>
      <c r="N150" s="66"/>
      <c r="O150" s="66"/>
      <c r="P150" s="66"/>
      <c r="Q150" s="67"/>
      <c r="R150" s="66"/>
      <c r="S150" s="66"/>
      <c r="T150" s="66"/>
      <c r="U150" s="66">
        <v>18.0</v>
      </c>
      <c r="V150" s="66">
        <v>12.0</v>
      </c>
      <c r="W150" s="66">
        <v>9.0</v>
      </c>
      <c r="X150" s="66">
        <v>41.0</v>
      </c>
      <c r="Y150" s="87">
        <v>19.0</v>
      </c>
      <c r="Z150" s="66"/>
      <c r="AA150" s="66"/>
      <c r="AB150" s="72"/>
      <c r="AC150" s="73"/>
      <c r="AD150" s="73"/>
      <c r="AE150" s="74"/>
      <c r="AF150" s="75"/>
      <c r="AG150" s="73"/>
      <c r="AH150" s="76"/>
      <c r="AI150" s="77">
        <f t="shared" si="7"/>
        <v>498</v>
      </c>
      <c r="AJ150" s="78">
        <f t="shared" si="8"/>
        <v>41.5</v>
      </c>
      <c r="AK150" s="79">
        <f t="shared" si="9"/>
        <v>41.5</v>
      </c>
      <c r="AL150" s="80"/>
      <c r="AM150" s="81"/>
      <c r="AN150" s="81"/>
      <c r="AO150" s="81"/>
      <c r="AP150" s="81"/>
      <c r="AQ150" s="81"/>
      <c r="AR150" s="81"/>
      <c r="AS150" s="81"/>
      <c r="AT150" s="81"/>
      <c r="AU150" s="81"/>
      <c r="AV150" s="81"/>
      <c r="AW150" s="81"/>
      <c r="AX150" s="81"/>
      <c r="AY150" s="81"/>
      <c r="AZ150" s="81"/>
      <c r="BA150" s="81"/>
      <c r="BB150" s="81"/>
      <c r="BC150" s="81"/>
      <c r="BD150" s="81"/>
      <c r="BE150" s="81"/>
      <c r="BF150" s="81"/>
      <c r="BG150" s="81"/>
      <c r="BH150" s="81"/>
      <c r="BI150" s="81"/>
      <c r="BJ150" s="81"/>
    </row>
    <row r="151">
      <c r="A151" s="90">
        <v>45157.0</v>
      </c>
      <c r="B151" s="70">
        <f t="shared" si="11"/>
        <v>11</v>
      </c>
      <c r="C151" s="71">
        <v>14.0</v>
      </c>
      <c r="D151" s="66"/>
      <c r="E151" s="66">
        <v>106.0</v>
      </c>
      <c r="F151" s="66">
        <v>31.0</v>
      </c>
      <c r="G151" s="66">
        <v>10.0</v>
      </c>
      <c r="H151" s="66">
        <v>45.0</v>
      </c>
      <c r="I151" s="66">
        <v>43.0</v>
      </c>
      <c r="J151" s="66">
        <v>46.0</v>
      </c>
      <c r="K151" s="84"/>
      <c r="L151" s="66"/>
      <c r="M151" s="66"/>
      <c r="N151" s="66"/>
      <c r="O151" s="66"/>
      <c r="P151" s="66"/>
      <c r="Q151" s="67"/>
      <c r="R151" s="66"/>
      <c r="S151" s="66"/>
      <c r="T151" s="66"/>
      <c r="U151" s="66">
        <v>23.0</v>
      </c>
      <c r="V151" s="66"/>
      <c r="W151" s="66">
        <v>2.0</v>
      </c>
      <c r="X151" s="66">
        <v>53.0</v>
      </c>
      <c r="Y151" s="87">
        <v>22.0</v>
      </c>
      <c r="Z151" s="66"/>
      <c r="AA151" s="66"/>
      <c r="AB151" s="72"/>
      <c r="AC151" s="73"/>
      <c r="AD151" s="73"/>
      <c r="AE151" s="74"/>
      <c r="AF151" s="75"/>
      <c r="AG151" s="73"/>
      <c r="AH151" s="76"/>
      <c r="AI151" s="77">
        <f t="shared" si="7"/>
        <v>395</v>
      </c>
      <c r="AJ151" s="78">
        <f t="shared" si="8"/>
        <v>35.90909091</v>
      </c>
      <c r="AK151" s="79">
        <f t="shared" si="9"/>
        <v>35.90909091</v>
      </c>
      <c r="AL151" s="80"/>
      <c r="AM151" s="81"/>
      <c r="AN151" s="81"/>
      <c r="AO151" s="81"/>
      <c r="AP151" s="81"/>
      <c r="AQ151" s="81"/>
      <c r="AR151" s="81"/>
      <c r="AS151" s="81"/>
      <c r="AT151" s="81"/>
      <c r="AU151" s="81"/>
      <c r="AV151" s="81"/>
      <c r="AW151" s="81"/>
      <c r="AX151" s="81"/>
      <c r="AY151" s="81"/>
      <c r="AZ151" s="81"/>
      <c r="BA151" s="81"/>
      <c r="BB151" s="81"/>
      <c r="BC151" s="81"/>
      <c r="BD151" s="81"/>
      <c r="BE151" s="81"/>
      <c r="BF151" s="81"/>
      <c r="BG151" s="81"/>
      <c r="BH151" s="81"/>
      <c r="BI151" s="81"/>
      <c r="BJ151" s="81"/>
    </row>
    <row r="152">
      <c r="A152" s="90">
        <v>45150.0</v>
      </c>
      <c r="B152" s="70">
        <f t="shared" si="11"/>
        <v>12</v>
      </c>
      <c r="C152" s="71">
        <v>25.0</v>
      </c>
      <c r="D152" s="66"/>
      <c r="E152" s="66">
        <v>86.0</v>
      </c>
      <c r="F152" s="66">
        <v>45.0</v>
      </c>
      <c r="G152" s="66">
        <v>9.0</v>
      </c>
      <c r="H152" s="66">
        <v>42.0</v>
      </c>
      <c r="I152" s="66">
        <v>32.0</v>
      </c>
      <c r="J152" s="66">
        <v>35.0</v>
      </c>
      <c r="K152" s="84"/>
      <c r="L152" s="66"/>
      <c r="M152" s="66"/>
      <c r="N152" s="66"/>
      <c r="O152" s="66"/>
      <c r="P152" s="66"/>
      <c r="Q152" s="67"/>
      <c r="R152" s="66"/>
      <c r="S152" s="66"/>
      <c r="T152" s="66"/>
      <c r="U152" s="66">
        <v>37.0</v>
      </c>
      <c r="V152" s="66">
        <v>3.0</v>
      </c>
      <c r="W152" s="66">
        <v>4.0</v>
      </c>
      <c r="X152" s="66">
        <v>62.0</v>
      </c>
      <c r="Y152" s="87">
        <v>18.0</v>
      </c>
      <c r="Z152" s="66"/>
      <c r="AA152" s="66"/>
      <c r="AB152" s="72"/>
      <c r="AC152" s="73"/>
      <c r="AD152" s="73"/>
      <c r="AE152" s="74"/>
      <c r="AF152" s="75"/>
      <c r="AG152" s="73"/>
      <c r="AH152" s="76"/>
      <c r="AI152" s="77">
        <f t="shared" si="7"/>
        <v>398</v>
      </c>
      <c r="AJ152" s="78">
        <f t="shared" si="8"/>
        <v>33.16666667</v>
      </c>
      <c r="AK152" s="79">
        <f t="shared" si="9"/>
        <v>33.16666667</v>
      </c>
      <c r="AL152" s="80"/>
      <c r="AM152" s="81"/>
      <c r="AN152" s="81"/>
      <c r="AO152" s="81"/>
      <c r="AP152" s="81"/>
      <c r="AQ152" s="81"/>
      <c r="AR152" s="81"/>
      <c r="AS152" s="81"/>
      <c r="AT152" s="81"/>
      <c r="AU152" s="81"/>
      <c r="AV152" s="81"/>
      <c r="AW152" s="81"/>
      <c r="AX152" s="81"/>
      <c r="AY152" s="81"/>
      <c r="AZ152" s="81"/>
      <c r="BA152" s="81"/>
      <c r="BB152" s="81"/>
      <c r="BC152" s="81"/>
      <c r="BD152" s="81"/>
      <c r="BE152" s="81"/>
      <c r="BF152" s="81"/>
      <c r="BG152" s="81"/>
      <c r="BH152" s="81"/>
      <c r="BI152" s="81"/>
      <c r="BJ152" s="81"/>
    </row>
    <row r="153">
      <c r="A153" s="90">
        <v>45143.0</v>
      </c>
      <c r="B153" s="70">
        <f t="shared" si="11"/>
        <v>12</v>
      </c>
      <c r="C153" s="71">
        <v>19.0</v>
      </c>
      <c r="D153" s="66"/>
      <c r="E153" s="66">
        <v>71.0</v>
      </c>
      <c r="F153" s="66">
        <v>50.0</v>
      </c>
      <c r="G153" s="66">
        <v>6.0</v>
      </c>
      <c r="H153" s="66">
        <v>34.0</v>
      </c>
      <c r="I153" s="66">
        <v>42.0</v>
      </c>
      <c r="J153" s="66">
        <v>29.0</v>
      </c>
      <c r="K153" s="84"/>
      <c r="L153" s="66"/>
      <c r="M153" s="66"/>
      <c r="N153" s="66"/>
      <c r="O153" s="66"/>
      <c r="P153" s="66"/>
      <c r="Q153" s="67"/>
      <c r="R153" s="66"/>
      <c r="S153" s="66"/>
      <c r="T153" s="66"/>
      <c r="U153" s="66">
        <v>15.0</v>
      </c>
      <c r="V153" s="66">
        <v>4.0</v>
      </c>
      <c r="W153" s="66">
        <v>5.0</v>
      </c>
      <c r="X153" s="66">
        <v>61.0</v>
      </c>
      <c r="Y153" s="87">
        <v>14.0</v>
      </c>
      <c r="Z153" s="66"/>
      <c r="AA153" s="66"/>
      <c r="AB153" s="72"/>
      <c r="AC153" s="73"/>
      <c r="AD153" s="73"/>
      <c r="AE153" s="74"/>
      <c r="AF153" s="75"/>
      <c r="AG153" s="73"/>
      <c r="AH153" s="76"/>
      <c r="AI153" s="77">
        <f t="shared" si="7"/>
        <v>350</v>
      </c>
      <c r="AJ153" s="78">
        <f t="shared" si="8"/>
        <v>29.16666667</v>
      </c>
      <c r="AK153" s="79">
        <f t="shared" si="9"/>
        <v>29.16666667</v>
      </c>
      <c r="AL153" s="80"/>
      <c r="AM153" s="81"/>
      <c r="AN153" s="81"/>
      <c r="AO153" s="81"/>
      <c r="AP153" s="81"/>
      <c r="AQ153" s="81"/>
      <c r="AR153" s="81"/>
      <c r="AS153" s="81"/>
      <c r="AT153" s="81"/>
      <c r="AU153" s="81"/>
      <c r="AV153" s="81"/>
      <c r="AW153" s="81"/>
      <c r="AX153" s="81"/>
      <c r="AY153" s="81"/>
      <c r="AZ153" s="81"/>
      <c r="BA153" s="81"/>
      <c r="BB153" s="81"/>
      <c r="BC153" s="81"/>
      <c r="BD153" s="81"/>
      <c r="BE153" s="81"/>
      <c r="BF153" s="81"/>
      <c r="BG153" s="81"/>
      <c r="BH153" s="81"/>
      <c r="BI153" s="81"/>
      <c r="BJ153" s="81"/>
    </row>
    <row r="154">
      <c r="A154" s="90">
        <v>45136.0</v>
      </c>
      <c r="B154" s="70">
        <f t="shared" si="11"/>
        <v>12</v>
      </c>
      <c r="C154" s="71">
        <v>17.0</v>
      </c>
      <c r="D154" s="66"/>
      <c r="E154" s="66">
        <v>251.0</v>
      </c>
      <c r="F154" s="66">
        <v>25.0</v>
      </c>
      <c r="G154" s="66">
        <v>8.0</v>
      </c>
      <c r="H154" s="66">
        <v>29.0</v>
      </c>
      <c r="I154" s="66">
        <v>36.0</v>
      </c>
      <c r="J154" s="66">
        <v>15.0</v>
      </c>
      <c r="K154" s="84"/>
      <c r="L154" s="66"/>
      <c r="M154" s="66"/>
      <c r="N154" s="66"/>
      <c r="O154" s="66"/>
      <c r="P154" s="66"/>
      <c r="Q154" s="67"/>
      <c r="R154" s="66"/>
      <c r="S154" s="66"/>
      <c r="T154" s="66"/>
      <c r="U154" s="66">
        <v>20.0</v>
      </c>
      <c r="V154" s="66">
        <v>7.0</v>
      </c>
      <c r="W154" s="66">
        <v>2.0</v>
      </c>
      <c r="X154" s="66">
        <v>53.0</v>
      </c>
      <c r="Y154" s="87">
        <v>15.0</v>
      </c>
      <c r="Z154" s="66"/>
      <c r="AA154" s="66"/>
      <c r="AB154" s="72"/>
      <c r="AC154" s="73"/>
      <c r="AD154" s="73"/>
      <c r="AE154" s="74"/>
      <c r="AF154" s="75"/>
      <c r="AG154" s="73"/>
      <c r="AH154" s="76"/>
      <c r="AI154" s="77">
        <f t="shared" si="7"/>
        <v>478</v>
      </c>
      <c r="AJ154" s="78">
        <f t="shared" si="8"/>
        <v>39.83333333</v>
      </c>
      <c r="AK154" s="79">
        <f t="shared" si="9"/>
        <v>39.83333333</v>
      </c>
      <c r="AL154" s="80"/>
      <c r="AM154" s="81"/>
      <c r="AN154" s="81"/>
      <c r="AO154" s="81"/>
      <c r="AP154" s="81"/>
      <c r="AQ154" s="81"/>
      <c r="AR154" s="81"/>
      <c r="AS154" s="81"/>
      <c r="AT154" s="81"/>
      <c r="AU154" s="81"/>
      <c r="AV154" s="81"/>
      <c r="AW154" s="81"/>
      <c r="AX154" s="81"/>
      <c r="AY154" s="81"/>
      <c r="AZ154" s="81"/>
      <c r="BA154" s="81"/>
      <c r="BB154" s="81"/>
      <c r="BC154" s="81"/>
      <c r="BD154" s="81"/>
      <c r="BE154" s="81"/>
      <c r="BF154" s="81"/>
      <c r="BG154" s="81"/>
      <c r="BH154" s="81"/>
      <c r="BI154" s="81"/>
      <c r="BJ154" s="81"/>
    </row>
    <row r="155">
      <c r="A155" s="90">
        <v>45129.0</v>
      </c>
      <c r="B155" s="70">
        <f t="shared" si="11"/>
        <v>11</v>
      </c>
      <c r="C155" s="71">
        <v>23.0</v>
      </c>
      <c r="D155" s="66"/>
      <c r="E155" s="66">
        <v>91.0</v>
      </c>
      <c r="F155" s="66">
        <v>41.0</v>
      </c>
      <c r="G155" s="66"/>
      <c r="H155" s="66">
        <v>42.0</v>
      </c>
      <c r="I155" s="66">
        <v>50.0</v>
      </c>
      <c r="J155" s="66">
        <v>41.0</v>
      </c>
      <c r="K155" s="84"/>
      <c r="L155" s="66"/>
      <c r="M155" s="66"/>
      <c r="N155" s="66"/>
      <c r="O155" s="66"/>
      <c r="P155" s="66"/>
      <c r="Q155" s="67"/>
      <c r="R155" s="66"/>
      <c r="S155" s="66"/>
      <c r="T155" s="66"/>
      <c r="U155" s="66">
        <v>25.0</v>
      </c>
      <c r="V155" s="66">
        <v>4.0</v>
      </c>
      <c r="W155" s="66">
        <v>2.0</v>
      </c>
      <c r="X155" s="66">
        <v>63.0</v>
      </c>
      <c r="Y155" s="87">
        <v>21.0</v>
      </c>
      <c r="Z155" s="66"/>
      <c r="AA155" s="66"/>
      <c r="AB155" s="72"/>
      <c r="AC155" s="73"/>
      <c r="AD155" s="73"/>
      <c r="AE155" s="74"/>
      <c r="AF155" s="75"/>
      <c r="AG155" s="73"/>
      <c r="AH155" s="76"/>
      <c r="AI155" s="77">
        <f t="shared" si="7"/>
        <v>403</v>
      </c>
      <c r="AJ155" s="78">
        <f t="shared" si="8"/>
        <v>36.63636364</v>
      </c>
      <c r="AK155" s="79">
        <f t="shared" si="9"/>
        <v>36.63636364</v>
      </c>
      <c r="AL155" s="80"/>
      <c r="AM155" s="81"/>
      <c r="AN155" s="81"/>
      <c r="AO155" s="81"/>
      <c r="AP155" s="81"/>
      <c r="AQ155" s="81"/>
      <c r="AR155" s="81"/>
      <c r="AS155" s="81"/>
      <c r="AT155" s="81"/>
      <c r="AU155" s="81"/>
      <c r="AV155" s="81"/>
      <c r="AW155" s="81"/>
      <c r="AX155" s="81"/>
      <c r="AY155" s="81"/>
      <c r="AZ155" s="81"/>
      <c r="BA155" s="81"/>
      <c r="BB155" s="81"/>
      <c r="BC155" s="81"/>
      <c r="BD155" s="81"/>
      <c r="BE155" s="81"/>
      <c r="BF155" s="81"/>
      <c r="BG155" s="81"/>
      <c r="BH155" s="81"/>
      <c r="BI155" s="81"/>
      <c r="BJ155" s="81"/>
    </row>
    <row r="156">
      <c r="A156" s="90">
        <v>45122.0</v>
      </c>
      <c r="B156" s="70">
        <f t="shared" si="11"/>
        <v>12</v>
      </c>
      <c r="C156" s="71">
        <v>16.0</v>
      </c>
      <c r="D156" s="66"/>
      <c r="E156" s="66">
        <v>65.0</v>
      </c>
      <c r="F156" s="66">
        <v>36.0</v>
      </c>
      <c r="G156" s="66">
        <v>7.0</v>
      </c>
      <c r="H156" s="66">
        <v>32.0</v>
      </c>
      <c r="I156" s="66">
        <v>36.0</v>
      </c>
      <c r="J156" s="66">
        <v>38.0</v>
      </c>
      <c r="K156" s="84"/>
      <c r="L156" s="66"/>
      <c r="M156" s="66"/>
      <c r="N156" s="66"/>
      <c r="O156" s="66"/>
      <c r="P156" s="66"/>
      <c r="Q156" s="67"/>
      <c r="R156" s="66"/>
      <c r="S156" s="66"/>
      <c r="T156" s="66"/>
      <c r="U156" s="66">
        <v>15.0</v>
      </c>
      <c r="V156" s="66">
        <v>7.0</v>
      </c>
      <c r="W156" s="66">
        <v>5.0</v>
      </c>
      <c r="X156" s="66">
        <v>52.0</v>
      </c>
      <c r="Y156" s="87">
        <v>24.0</v>
      </c>
      <c r="Z156" s="66"/>
      <c r="AA156" s="66"/>
      <c r="AB156" s="72"/>
      <c r="AC156" s="73"/>
      <c r="AD156" s="73"/>
      <c r="AE156" s="74"/>
      <c r="AF156" s="75"/>
      <c r="AG156" s="73"/>
      <c r="AH156" s="76"/>
      <c r="AI156" s="77">
        <f t="shared" si="7"/>
        <v>333</v>
      </c>
      <c r="AJ156" s="78">
        <f t="shared" si="8"/>
        <v>27.75</v>
      </c>
      <c r="AK156" s="79">
        <f t="shared" si="9"/>
        <v>27.75</v>
      </c>
      <c r="AL156" s="80"/>
      <c r="AM156" s="81"/>
      <c r="AN156" s="81"/>
      <c r="AO156" s="81"/>
      <c r="AP156" s="81"/>
      <c r="AQ156" s="81"/>
      <c r="AR156" s="81"/>
      <c r="AS156" s="81"/>
      <c r="AT156" s="81"/>
      <c r="AU156" s="81"/>
      <c r="AV156" s="81"/>
      <c r="AW156" s="81"/>
      <c r="AX156" s="81"/>
      <c r="AY156" s="81"/>
      <c r="AZ156" s="81"/>
      <c r="BA156" s="81"/>
      <c r="BB156" s="81"/>
      <c r="BC156" s="81"/>
      <c r="BD156" s="81"/>
      <c r="BE156" s="81"/>
      <c r="BF156" s="81"/>
      <c r="BG156" s="81"/>
      <c r="BH156" s="81"/>
      <c r="BI156" s="81"/>
      <c r="BJ156" s="81"/>
    </row>
    <row r="157">
      <c r="A157" s="90">
        <v>45115.0</v>
      </c>
      <c r="B157" s="70">
        <f t="shared" si="11"/>
        <v>12</v>
      </c>
      <c r="C157" s="71">
        <v>30.0</v>
      </c>
      <c r="D157" s="66"/>
      <c r="E157" s="66">
        <v>138.0</v>
      </c>
      <c r="F157" s="66">
        <v>38.0</v>
      </c>
      <c r="G157" s="66">
        <v>6.0</v>
      </c>
      <c r="H157" s="66">
        <v>39.0</v>
      </c>
      <c r="I157" s="66">
        <v>42.0</v>
      </c>
      <c r="J157" s="66">
        <v>36.0</v>
      </c>
      <c r="K157" s="84"/>
      <c r="L157" s="66"/>
      <c r="M157" s="66"/>
      <c r="N157" s="66"/>
      <c r="O157" s="66"/>
      <c r="P157" s="66"/>
      <c r="Q157" s="67"/>
      <c r="R157" s="66"/>
      <c r="S157" s="66"/>
      <c r="T157" s="66"/>
      <c r="U157" s="66">
        <v>28.0</v>
      </c>
      <c r="V157" s="66">
        <v>2.0</v>
      </c>
      <c r="W157" s="66">
        <v>4.0</v>
      </c>
      <c r="X157" s="66">
        <v>72.0</v>
      </c>
      <c r="Y157" s="87">
        <v>20.0</v>
      </c>
      <c r="Z157" s="66"/>
      <c r="AA157" s="66"/>
      <c r="AB157" s="72"/>
      <c r="AC157" s="73"/>
      <c r="AD157" s="73"/>
      <c r="AE157" s="74"/>
      <c r="AF157" s="75"/>
      <c r="AG157" s="73"/>
      <c r="AH157" s="76"/>
      <c r="AI157" s="77">
        <f t="shared" si="7"/>
        <v>455</v>
      </c>
      <c r="AJ157" s="78">
        <f t="shared" si="8"/>
        <v>37.91666667</v>
      </c>
      <c r="AK157" s="79">
        <f t="shared" si="9"/>
        <v>37.91666667</v>
      </c>
      <c r="AL157" s="80"/>
      <c r="AM157" s="81"/>
      <c r="AN157" s="81"/>
      <c r="AO157" s="81"/>
      <c r="AP157" s="81"/>
      <c r="AQ157" s="81"/>
      <c r="AR157" s="81"/>
      <c r="AS157" s="81"/>
      <c r="AT157" s="81"/>
      <c r="AU157" s="81"/>
      <c r="AV157" s="81"/>
      <c r="AW157" s="81"/>
      <c r="AX157" s="81"/>
      <c r="AY157" s="81"/>
      <c r="AZ157" s="81"/>
      <c r="BA157" s="81"/>
      <c r="BB157" s="81"/>
      <c r="BC157" s="81"/>
      <c r="BD157" s="81"/>
      <c r="BE157" s="81"/>
      <c r="BF157" s="81"/>
      <c r="BG157" s="81"/>
      <c r="BH157" s="81"/>
      <c r="BI157" s="81"/>
      <c r="BJ157" s="81"/>
    </row>
    <row r="158">
      <c r="A158" s="90">
        <v>45108.0</v>
      </c>
      <c r="B158" s="70">
        <f t="shared" si="11"/>
        <v>11</v>
      </c>
      <c r="C158" s="71">
        <v>20.0</v>
      </c>
      <c r="D158" s="66"/>
      <c r="E158" s="66">
        <v>82.0</v>
      </c>
      <c r="F158" s="66">
        <v>46.0</v>
      </c>
      <c r="G158" s="66">
        <v>14.0</v>
      </c>
      <c r="H158" s="66">
        <v>44.0</v>
      </c>
      <c r="I158" s="66">
        <v>149.0</v>
      </c>
      <c r="J158" s="66">
        <v>45.0</v>
      </c>
      <c r="K158" s="84"/>
      <c r="L158" s="66"/>
      <c r="M158" s="66"/>
      <c r="N158" s="66"/>
      <c r="O158" s="66"/>
      <c r="P158" s="66"/>
      <c r="Q158" s="67"/>
      <c r="R158" s="66"/>
      <c r="S158" s="66"/>
      <c r="T158" s="66"/>
      <c r="U158" s="66">
        <v>29.0</v>
      </c>
      <c r="V158" s="66"/>
      <c r="W158" s="66">
        <v>2.0</v>
      </c>
      <c r="X158" s="66">
        <v>56.0</v>
      </c>
      <c r="Y158" s="87">
        <v>15.0</v>
      </c>
      <c r="Z158" s="66"/>
      <c r="AA158" s="66"/>
      <c r="AB158" s="72"/>
      <c r="AC158" s="73"/>
      <c r="AD158" s="73"/>
      <c r="AE158" s="74"/>
      <c r="AF158" s="75"/>
      <c r="AG158" s="73"/>
      <c r="AH158" s="76"/>
      <c r="AI158" s="77">
        <f t="shared" si="7"/>
        <v>502</v>
      </c>
      <c r="AJ158" s="78">
        <f t="shared" si="8"/>
        <v>45.63636364</v>
      </c>
      <c r="AK158" s="79">
        <f t="shared" si="9"/>
        <v>45.63636364</v>
      </c>
      <c r="AL158" s="80"/>
      <c r="AM158" s="81"/>
      <c r="AN158" s="81"/>
      <c r="AO158" s="81"/>
      <c r="AP158" s="81"/>
      <c r="AQ158" s="81"/>
      <c r="AR158" s="81"/>
      <c r="AS158" s="81"/>
      <c r="AT158" s="81"/>
      <c r="AU158" s="81"/>
      <c r="AV158" s="81"/>
      <c r="AW158" s="81"/>
      <c r="AX158" s="81"/>
      <c r="AY158" s="81"/>
      <c r="AZ158" s="81"/>
      <c r="BA158" s="81"/>
      <c r="BB158" s="81"/>
      <c r="BC158" s="81"/>
      <c r="BD158" s="81"/>
      <c r="BE158" s="81"/>
      <c r="BF158" s="81"/>
      <c r="BG158" s="81"/>
      <c r="BH158" s="81"/>
      <c r="BI158" s="81"/>
      <c r="BJ158" s="81"/>
    </row>
    <row r="159">
      <c r="A159" s="90">
        <v>45101.0</v>
      </c>
      <c r="B159" s="70">
        <f t="shared" si="11"/>
        <v>11</v>
      </c>
      <c r="C159" s="71">
        <v>18.0</v>
      </c>
      <c r="D159" s="66"/>
      <c r="E159" s="66">
        <v>100.0</v>
      </c>
      <c r="F159" s="66">
        <v>52.0</v>
      </c>
      <c r="G159" s="66">
        <v>12.0</v>
      </c>
      <c r="H159" s="66">
        <v>47.0</v>
      </c>
      <c r="I159" s="66">
        <v>68.0</v>
      </c>
      <c r="J159" s="66">
        <v>44.0</v>
      </c>
      <c r="K159" s="84"/>
      <c r="L159" s="66"/>
      <c r="M159" s="66"/>
      <c r="N159" s="66"/>
      <c r="O159" s="66"/>
      <c r="P159" s="66"/>
      <c r="Q159" s="67"/>
      <c r="R159" s="66"/>
      <c r="S159" s="66"/>
      <c r="T159" s="66"/>
      <c r="U159" s="66">
        <v>25.0</v>
      </c>
      <c r="V159" s="66">
        <v>3.0</v>
      </c>
      <c r="W159" s="66">
        <v>3.0</v>
      </c>
      <c r="X159" s="66">
        <v>66.0</v>
      </c>
      <c r="Y159" s="87"/>
      <c r="Z159" s="66"/>
      <c r="AA159" s="66"/>
      <c r="AB159" s="72"/>
      <c r="AC159" s="73"/>
      <c r="AD159" s="73"/>
      <c r="AE159" s="74"/>
      <c r="AF159" s="75"/>
      <c r="AG159" s="73"/>
      <c r="AH159" s="76"/>
      <c r="AI159" s="77">
        <f t="shared" si="7"/>
        <v>438</v>
      </c>
      <c r="AJ159" s="78">
        <f t="shared" si="8"/>
        <v>39.81818182</v>
      </c>
      <c r="AK159" s="79">
        <f t="shared" si="9"/>
        <v>39.81818182</v>
      </c>
      <c r="AL159" s="80"/>
      <c r="AM159" s="81"/>
      <c r="AN159" s="81"/>
      <c r="AO159" s="81"/>
      <c r="AP159" s="81"/>
      <c r="AQ159" s="81"/>
      <c r="AR159" s="81"/>
      <c r="AS159" s="81"/>
      <c r="AT159" s="81"/>
      <c r="AU159" s="81"/>
      <c r="AV159" s="81"/>
      <c r="AW159" s="81"/>
      <c r="AX159" s="81"/>
      <c r="AY159" s="81"/>
      <c r="AZ159" s="81"/>
      <c r="BA159" s="81"/>
      <c r="BB159" s="81"/>
      <c r="BC159" s="81"/>
      <c r="BD159" s="81"/>
      <c r="BE159" s="81"/>
      <c r="BF159" s="81"/>
      <c r="BG159" s="81"/>
      <c r="BH159" s="81"/>
      <c r="BI159" s="81"/>
      <c r="BJ159" s="81"/>
    </row>
    <row r="160">
      <c r="A160" s="90">
        <v>45094.0</v>
      </c>
      <c r="B160" s="70">
        <f t="shared" si="11"/>
        <v>11</v>
      </c>
      <c r="C160" s="71">
        <v>27.0</v>
      </c>
      <c r="D160" s="66"/>
      <c r="E160" s="66">
        <v>252.0</v>
      </c>
      <c r="F160" s="66">
        <v>36.0</v>
      </c>
      <c r="G160" s="66">
        <v>6.0</v>
      </c>
      <c r="H160" s="66">
        <v>47.0</v>
      </c>
      <c r="I160" s="66">
        <v>57.0</v>
      </c>
      <c r="J160" s="66">
        <v>53.0</v>
      </c>
      <c r="K160" s="84"/>
      <c r="L160" s="66"/>
      <c r="M160" s="66"/>
      <c r="N160" s="66"/>
      <c r="O160" s="66"/>
      <c r="P160" s="66"/>
      <c r="Q160" s="67"/>
      <c r="R160" s="66"/>
      <c r="S160" s="66"/>
      <c r="T160" s="66"/>
      <c r="U160" s="66">
        <v>28.0</v>
      </c>
      <c r="V160" s="66">
        <v>6.0</v>
      </c>
      <c r="W160" s="66">
        <v>5.0</v>
      </c>
      <c r="X160" s="66">
        <v>60.0</v>
      </c>
      <c r="Y160" s="87"/>
      <c r="Z160" s="66"/>
      <c r="AA160" s="66"/>
      <c r="AB160" s="72"/>
      <c r="AC160" s="73"/>
      <c r="AD160" s="73"/>
      <c r="AE160" s="74"/>
      <c r="AF160" s="75"/>
      <c r="AG160" s="73"/>
      <c r="AH160" s="76"/>
      <c r="AI160" s="77">
        <f t="shared" si="7"/>
        <v>577</v>
      </c>
      <c r="AJ160" s="78">
        <f t="shared" si="8"/>
        <v>52.45454545</v>
      </c>
      <c r="AK160" s="79">
        <f t="shared" si="9"/>
        <v>52.45454545</v>
      </c>
      <c r="AL160" s="80"/>
      <c r="AM160" s="81"/>
      <c r="AN160" s="81"/>
      <c r="AO160" s="81"/>
      <c r="AP160" s="81"/>
      <c r="AQ160" s="81"/>
      <c r="AR160" s="81"/>
      <c r="AS160" s="81"/>
      <c r="AT160" s="81"/>
      <c r="AU160" s="81"/>
      <c r="AV160" s="81"/>
      <c r="AW160" s="81"/>
      <c r="AX160" s="81"/>
      <c r="AY160" s="81"/>
      <c r="AZ160" s="81"/>
      <c r="BA160" s="81"/>
      <c r="BB160" s="81"/>
      <c r="BC160" s="81"/>
      <c r="BD160" s="81"/>
      <c r="BE160" s="81"/>
      <c r="BF160" s="81"/>
      <c r="BG160" s="81"/>
      <c r="BH160" s="81"/>
      <c r="BI160" s="81"/>
      <c r="BJ160" s="81"/>
    </row>
    <row r="161">
      <c r="A161" s="90">
        <v>45087.0</v>
      </c>
      <c r="B161" s="70">
        <f t="shared" si="11"/>
        <v>11</v>
      </c>
      <c r="C161" s="71">
        <v>31.0</v>
      </c>
      <c r="D161" s="66"/>
      <c r="E161" s="66">
        <v>90.0</v>
      </c>
      <c r="F161" s="66">
        <v>46.0</v>
      </c>
      <c r="G161" s="66">
        <v>4.0</v>
      </c>
      <c r="H161" s="66">
        <v>44.0</v>
      </c>
      <c r="I161" s="66">
        <v>37.0</v>
      </c>
      <c r="J161" s="66">
        <v>43.0</v>
      </c>
      <c r="K161" s="84"/>
      <c r="L161" s="66"/>
      <c r="M161" s="66"/>
      <c r="N161" s="66"/>
      <c r="O161" s="66"/>
      <c r="P161" s="66"/>
      <c r="Q161" s="67"/>
      <c r="R161" s="66"/>
      <c r="S161" s="66"/>
      <c r="T161" s="66"/>
      <c r="U161" s="66">
        <v>31.0</v>
      </c>
      <c r="V161" s="66">
        <v>9.0</v>
      </c>
      <c r="W161" s="66">
        <v>1.0</v>
      </c>
      <c r="X161" s="66">
        <v>64.0</v>
      </c>
      <c r="Y161" s="87"/>
      <c r="Z161" s="66"/>
      <c r="AA161" s="66"/>
      <c r="AB161" s="72"/>
      <c r="AC161" s="73"/>
      <c r="AD161" s="73"/>
      <c r="AE161" s="74"/>
      <c r="AF161" s="75"/>
      <c r="AG161" s="73"/>
      <c r="AH161" s="76"/>
      <c r="AI161" s="77">
        <f t="shared" si="7"/>
        <v>400</v>
      </c>
      <c r="AJ161" s="78">
        <f t="shared" si="8"/>
        <v>36.36363636</v>
      </c>
      <c r="AK161" s="79">
        <f t="shared" si="9"/>
        <v>36.36363636</v>
      </c>
      <c r="AL161" s="80"/>
      <c r="AM161" s="81"/>
      <c r="AN161" s="81"/>
      <c r="AO161" s="81"/>
      <c r="AP161" s="81"/>
      <c r="AQ161" s="81"/>
      <c r="AR161" s="81"/>
      <c r="AS161" s="81"/>
      <c r="AT161" s="81"/>
      <c r="AU161" s="81"/>
      <c r="AV161" s="81"/>
      <c r="AW161" s="81"/>
      <c r="AX161" s="81"/>
      <c r="AY161" s="81"/>
      <c r="AZ161" s="81"/>
      <c r="BA161" s="81"/>
      <c r="BB161" s="81"/>
      <c r="BC161" s="81"/>
      <c r="BD161" s="81"/>
      <c r="BE161" s="81"/>
      <c r="BF161" s="81"/>
      <c r="BG161" s="81"/>
      <c r="BH161" s="81"/>
      <c r="BI161" s="81"/>
      <c r="BJ161" s="81"/>
    </row>
    <row r="162">
      <c r="A162" s="90">
        <v>45080.0</v>
      </c>
      <c r="B162" s="70">
        <f t="shared" si="11"/>
        <v>11</v>
      </c>
      <c r="C162" s="71">
        <v>34.0</v>
      </c>
      <c r="D162" s="66"/>
      <c r="E162" s="66">
        <v>64.0</v>
      </c>
      <c r="F162" s="66">
        <v>19.0</v>
      </c>
      <c r="G162" s="66">
        <v>6.0</v>
      </c>
      <c r="H162" s="66">
        <v>27.0</v>
      </c>
      <c r="I162" s="66">
        <v>35.0</v>
      </c>
      <c r="J162" s="66">
        <v>37.0</v>
      </c>
      <c r="K162" s="84"/>
      <c r="L162" s="66"/>
      <c r="M162" s="66"/>
      <c r="N162" s="66"/>
      <c r="O162" s="66"/>
      <c r="P162" s="66"/>
      <c r="Q162" s="67"/>
      <c r="R162" s="66"/>
      <c r="S162" s="66"/>
      <c r="T162" s="66"/>
      <c r="U162" s="66">
        <v>31.0</v>
      </c>
      <c r="V162" s="66">
        <v>2.0</v>
      </c>
      <c r="W162" s="66">
        <v>5.0</v>
      </c>
      <c r="X162" s="66">
        <v>77.0</v>
      </c>
      <c r="Y162" s="87"/>
      <c r="Z162" s="66"/>
      <c r="AA162" s="66"/>
      <c r="AB162" s="72"/>
      <c r="AC162" s="73"/>
      <c r="AD162" s="73"/>
      <c r="AE162" s="74"/>
      <c r="AF162" s="75"/>
      <c r="AG162" s="73"/>
      <c r="AH162" s="76">
        <v>42.0</v>
      </c>
      <c r="AI162" s="77">
        <f t="shared" si="7"/>
        <v>379</v>
      </c>
      <c r="AJ162" s="78">
        <f t="shared" si="8"/>
        <v>30.63636364</v>
      </c>
      <c r="AK162" s="79">
        <f t="shared" si="9"/>
        <v>31.58333333</v>
      </c>
      <c r="AL162" s="80"/>
      <c r="AM162" s="81"/>
      <c r="AN162" s="81"/>
      <c r="AO162" s="81"/>
      <c r="AP162" s="81"/>
      <c r="AQ162" s="81"/>
      <c r="AR162" s="81"/>
      <c r="AS162" s="81"/>
      <c r="AT162" s="81"/>
      <c r="AU162" s="81"/>
      <c r="AV162" s="81"/>
      <c r="AW162" s="81"/>
      <c r="AX162" s="81"/>
      <c r="AY162" s="81"/>
      <c r="AZ162" s="81"/>
      <c r="BA162" s="81"/>
      <c r="BB162" s="81"/>
      <c r="BC162" s="81"/>
      <c r="BD162" s="81"/>
      <c r="BE162" s="81"/>
      <c r="BF162" s="81"/>
      <c r="BG162" s="81"/>
      <c r="BH162" s="81"/>
      <c r="BI162" s="81"/>
      <c r="BJ162" s="81"/>
    </row>
    <row r="163">
      <c r="A163" s="90">
        <v>45073.0</v>
      </c>
      <c r="B163" s="70">
        <f t="shared" si="11"/>
        <v>11</v>
      </c>
      <c r="C163" s="71">
        <v>41.0</v>
      </c>
      <c r="D163" s="66"/>
      <c r="E163" s="66">
        <v>104.0</v>
      </c>
      <c r="F163" s="66">
        <v>30.0</v>
      </c>
      <c r="G163" s="66">
        <v>7.0</v>
      </c>
      <c r="H163" s="66">
        <v>82.0</v>
      </c>
      <c r="I163" s="66">
        <v>50.0</v>
      </c>
      <c r="J163" s="66">
        <v>172.0</v>
      </c>
      <c r="K163" s="84"/>
      <c r="L163" s="66"/>
      <c r="M163" s="66"/>
      <c r="N163" s="66"/>
      <c r="O163" s="66"/>
      <c r="P163" s="66"/>
      <c r="Q163" s="67"/>
      <c r="R163" s="66"/>
      <c r="S163" s="66"/>
      <c r="T163" s="66"/>
      <c r="U163" s="66">
        <v>28.0</v>
      </c>
      <c r="V163" s="66">
        <v>11.0</v>
      </c>
      <c r="W163" s="66">
        <v>2.0</v>
      </c>
      <c r="X163" s="66">
        <v>47.0</v>
      </c>
      <c r="Y163" s="87"/>
      <c r="Z163" s="66"/>
      <c r="AA163" s="66"/>
      <c r="AB163" s="72"/>
      <c r="AC163" s="73"/>
      <c r="AD163" s="73"/>
      <c r="AE163" s="74"/>
      <c r="AF163" s="75"/>
      <c r="AG163" s="73"/>
      <c r="AH163" s="76"/>
      <c r="AI163" s="77">
        <f t="shared" si="7"/>
        <v>574</v>
      </c>
      <c r="AJ163" s="78">
        <f t="shared" si="8"/>
        <v>52.18181818</v>
      </c>
      <c r="AK163" s="79">
        <f t="shared" si="9"/>
        <v>52.18181818</v>
      </c>
      <c r="AL163" s="80"/>
      <c r="AM163" s="81"/>
      <c r="AN163" s="81"/>
      <c r="AO163" s="81"/>
      <c r="AP163" s="81"/>
      <c r="AQ163" s="81"/>
      <c r="AR163" s="81"/>
      <c r="AS163" s="81"/>
      <c r="AT163" s="81"/>
      <c r="AU163" s="81"/>
      <c r="AV163" s="81"/>
      <c r="AW163" s="81"/>
      <c r="AX163" s="81"/>
      <c r="AY163" s="81"/>
      <c r="AZ163" s="81"/>
      <c r="BA163" s="81"/>
      <c r="BB163" s="81"/>
      <c r="BC163" s="81"/>
      <c r="BD163" s="81"/>
      <c r="BE163" s="81"/>
      <c r="BF163" s="81"/>
      <c r="BG163" s="81"/>
      <c r="BH163" s="81"/>
      <c r="BI163" s="81"/>
      <c r="BJ163" s="81"/>
    </row>
    <row r="164">
      <c r="A164" s="90">
        <v>45066.0</v>
      </c>
      <c r="B164" s="70">
        <f t="shared" si="11"/>
        <v>11</v>
      </c>
      <c r="C164" s="71">
        <v>41.0</v>
      </c>
      <c r="D164" s="66"/>
      <c r="E164" s="66">
        <v>76.0</v>
      </c>
      <c r="F164" s="66">
        <v>40.0</v>
      </c>
      <c r="G164" s="66">
        <v>6.0</v>
      </c>
      <c r="H164" s="66">
        <v>32.0</v>
      </c>
      <c r="I164" s="66">
        <v>50.0</v>
      </c>
      <c r="J164" s="66">
        <v>38.0</v>
      </c>
      <c r="K164" s="84"/>
      <c r="L164" s="66"/>
      <c r="M164" s="66"/>
      <c r="N164" s="66"/>
      <c r="O164" s="66"/>
      <c r="P164" s="66"/>
      <c r="Q164" s="67"/>
      <c r="R164" s="66"/>
      <c r="S164" s="66"/>
      <c r="T164" s="66"/>
      <c r="U164" s="66">
        <v>27.0</v>
      </c>
      <c r="V164" s="66">
        <v>2.0</v>
      </c>
      <c r="W164" s="66">
        <v>3.0</v>
      </c>
      <c r="X164" s="66">
        <v>35.0</v>
      </c>
      <c r="Y164" s="87"/>
      <c r="Z164" s="66"/>
      <c r="AA164" s="66"/>
      <c r="AB164" s="72"/>
      <c r="AC164" s="73"/>
      <c r="AD164" s="73"/>
      <c r="AE164" s="74"/>
      <c r="AF164" s="75"/>
      <c r="AG164" s="73"/>
      <c r="AH164" s="76"/>
      <c r="AI164" s="77">
        <f t="shared" si="7"/>
        <v>350</v>
      </c>
      <c r="AJ164" s="78">
        <f t="shared" si="8"/>
        <v>31.81818182</v>
      </c>
      <c r="AK164" s="79">
        <f t="shared" si="9"/>
        <v>31.81818182</v>
      </c>
      <c r="AL164" s="80"/>
      <c r="AM164" s="81"/>
      <c r="AN164" s="81"/>
      <c r="AO164" s="81"/>
      <c r="AP164" s="81"/>
      <c r="AQ164" s="81"/>
      <c r="AR164" s="81"/>
      <c r="AS164" s="81"/>
      <c r="AT164" s="81"/>
      <c r="AU164" s="81"/>
      <c r="AV164" s="81"/>
      <c r="AW164" s="81"/>
      <c r="AX164" s="81"/>
      <c r="AY164" s="81"/>
      <c r="AZ164" s="81"/>
      <c r="BA164" s="81"/>
      <c r="BB164" s="81"/>
      <c r="BC164" s="81"/>
      <c r="BD164" s="81"/>
      <c r="BE164" s="81"/>
      <c r="BF164" s="81"/>
      <c r="BG164" s="81"/>
      <c r="BH164" s="81"/>
      <c r="BI164" s="81"/>
      <c r="BJ164" s="81"/>
    </row>
    <row r="165">
      <c r="A165" s="90">
        <v>45059.0</v>
      </c>
      <c r="B165" s="70">
        <f t="shared" si="11"/>
        <v>11</v>
      </c>
      <c r="C165" s="71">
        <v>38.0</v>
      </c>
      <c r="D165" s="66"/>
      <c r="E165" s="66">
        <v>113.0</v>
      </c>
      <c r="F165" s="66">
        <v>44.0</v>
      </c>
      <c r="G165" s="66">
        <v>12.0</v>
      </c>
      <c r="H165" s="66">
        <v>52.0</v>
      </c>
      <c r="I165" s="66">
        <v>39.0</v>
      </c>
      <c r="J165" s="66">
        <v>45.0</v>
      </c>
      <c r="K165" s="84"/>
      <c r="L165" s="66"/>
      <c r="M165" s="66"/>
      <c r="N165" s="66"/>
      <c r="O165" s="66"/>
      <c r="P165" s="66"/>
      <c r="Q165" s="67"/>
      <c r="R165" s="66"/>
      <c r="S165" s="66"/>
      <c r="T165" s="66"/>
      <c r="U165" s="66">
        <v>31.0</v>
      </c>
      <c r="V165" s="66">
        <v>2.0</v>
      </c>
      <c r="W165" s="66">
        <v>2.0</v>
      </c>
      <c r="X165" s="66">
        <v>102.0</v>
      </c>
      <c r="Y165" s="87"/>
      <c r="Z165" s="66"/>
      <c r="AA165" s="66"/>
      <c r="AB165" s="72"/>
      <c r="AC165" s="73"/>
      <c r="AD165" s="73"/>
      <c r="AE165" s="74"/>
      <c r="AF165" s="75"/>
      <c r="AG165" s="73"/>
      <c r="AH165" s="76"/>
      <c r="AI165" s="77">
        <f t="shared" si="7"/>
        <v>480</v>
      </c>
      <c r="AJ165" s="78">
        <f t="shared" si="8"/>
        <v>43.63636364</v>
      </c>
      <c r="AK165" s="79">
        <f t="shared" si="9"/>
        <v>43.63636364</v>
      </c>
      <c r="AL165" s="80"/>
      <c r="AM165" s="81"/>
      <c r="AN165" s="81"/>
      <c r="AO165" s="81"/>
      <c r="AP165" s="81"/>
      <c r="AQ165" s="81"/>
      <c r="AR165" s="81"/>
      <c r="AS165" s="81"/>
      <c r="AT165" s="81"/>
      <c r="AU165" s="81"/>
      <c r="AV165" s="81"/>
      <c r="AW165" s="81"/>
      <c r="AX165" s="81"/>
      <c r="AY165" s="81"/>
      <c r="AZ165" s="81"/>
      <c r="BA165" s="81"/>
      <c r="BB165" s="81"/>
      <c r="BC165" s="81"/>
      <c r="BD165" s="81"/>
      <c r="BE165" s="81"/>
      <c r="BF165" s="81"/>
      <c r="BG165" s="81"/>
      <c r="BH165" s="81"/>
      <c r="BI165" s="81"/>
      <c r="BJ165" s="81"/>
    </row>
    <row r="166">
      <c r="A166" s="90">
        <v>45052.0</v>
      </c>
      <c r="B166" s="70">
        <f t="shared" si="11"/>
        <v>11</v>
      </c>
      <c r="C166" s="71">
        <v>24.0</v>
      </c>
      <c r="D166" s="66"/>
      <c r="E166" s="66">
        <v>92.0</v>
      </c>
      <c r="F166" s="66">
        <v>33.0</v>
      </c>
      <c r="G166" s="66">
        <v>12.0</v>
      </c>
      <c r="H166" s="66">
        <v>40.0</v>
      </c>
      <c r="I166" s="66">
        <v>33.0</v>
      </c>
      <c r="J166" s="66">
        <v>32.0</v>
      </c>
      <c r="K166" s="84"/>
      <c r="L166" s="66"/>
      <c r="M166" s="66"/>
      <c r="N166" s="66"/>
      <c r="O166" s="66"/>
      <c r="P166" s="66"/>
      <c r="Q166" s="67"/>
      <c r="R166" s="66"/>
      <c r="S166" s="66"/>
      <c r="T166" s="66"/>
      <c r="U166" s="66">
        <v>27.0</v>
      </c>
      <c r="V166" s="66">
        <v>6.0</v>
      </c>
      <c r="W166" s="66">
        <v>2.0</v>
      </c>
      <c r="X166" s="66">
        <v>25.0</v>
      </c>
      <c r="Y166" s="87"/>
      <c r="Z166" s="66"/>
      <c r="AA166" s="66"/>
      <c r="AB166" s="72"/>
      <c r="AC166" s="73"/>
      <c r="AD166" s="73"/>
      <c r="AE166" s="74"/>
      <c r="AF166" s="75"/>
      <c r="AG166" s="73"/>
      <c r="AH166" s="76"/>
      <c r="AI166" s="77">
        <f t="shared" si="7"/>
        <v>326</v>
      </c>
      <c r="AJ166" s="78">
        <f t="shared" si="8"/>
        <v>29.63636364</v>
      </c>
      <c r="AK166" s="79">
        <f t="shared" si="9"/>
        <v>29.63636364</v>
      </c>
      <c r="AL166" s="80"/>
      <c r="AM166" s="81"/>
      <c r="AN166" s="81"/>
      <c r="AO166" s="81"/>
      <c r="AP166" s="81"/>
      <c r="AQ166" s="81"/>
      <c r="AR166" s="81"/>
      <c r="AS166" s="81"/>
      <c r="AT166" s="81"/>
      <c r="AU166" s="81"/>
      <c r="AV166" s="81"/>
      <c r="AW166" s="81"/>
      <c r="AX166" s="81"/>
      <c r="AY166" s="81"/>
      <c r="AZ166" s="81"/>
      <c r="BA166" s="81"/>
      <c r="BB166" s="81"/>
      <c r="BC166" s="81"/>
      <c r="BD166" s="81"/>
      <c r="BE166" s="81"/>
      <c r="BF166" s="81"/>
      <c r="BG166" s="81"/>
      <c r="BH166" s="81"/>
      <c r="BI166" s="81"/>
      <c r="BJ166" s="81"/>
    </row>
    <row r="167">
      <c r="A167" s="90">
        <v>45045.0</v>
      </c>
      <c r="B167" s="70">
        <f t="shared" si="11"/>
        <v>10</v>
      </c>
      <c r="C167" s="71">
        <v>34.0</v>
      </c>
      <c r="D167" s="66"/>
      <c r="E167" s="66">
        <v>56.0</v>
      </c>
      <c r="F167" s="66">
        <v>18.0</v>
      </c>
      <c r="G167" s="66">
        <v>9.0</v>
      </c>
      <c r="H167" s="66">
        <v>23.0</v>
      </c>
      <c r="I167" s="66">
        <v>34.0</v>
      </c>
      <c r="J167" s="66">
        <v>41.0</v>
      </c>
      <c r="K167" s="84"/>
      <c r="L167" s="66"/>
      <c r="M167" s="66"/>
      <c r="N167" s="66"/>
      <c r="O167" s="66"/>
      <c r="P167" s="66"/>
      <c r="Q167" s="67"/>
      <c r="R167" s="66"/>
      <c r="S167" s="66"/>
      <c r="T167" s="66"/>
      <c r="U167" s="66">
        <v>31.0</v>
      </c>
      <c r="V167" s="66">
        <v>4.0</v>
      </c>
      <c r="W167" s="66"/>
      <c r="X167" s="66">
        <v>52.0</v>
      </c>
      <c r="Y167" s="87"/>
      <c r="Z167" s="66"/>
      <c r="AA167" s="66"/>
      <c r="AB167" s="72"/>
      <c r="AC167" s="73"/>
      <c r="AD167" s="73"/>
      <c r="AE167" s="74"/>
      <c r="AF167" s="75"/>
      <c r="AG167" s="73"/>
      <c r="AH167" s="76">
        <v>22.0</v>
      </c>
      <c r="AI167" s="77">
        <f t="shared" si="7"/>
        <v>324</v>
      </c>
      <c r="AJ167" s="78">
        <f t="shared" si="8"/>
        <v>30.2</v>
      </c>
      <c r="AK167" s="79">
        <f t="shared" si="9"/>
        <v>29.45454545</v>
      </c>
      <c r="AL167" s="80"/>
      <c r="AM167" s="81"/>
      <c r="AN167" s="81"/>
      <c r="AO167" s="81"/>
      <c r="AP167" s="81"/>
      <c r="AQ167" s="81"/>
      <c r="AR167" s="81"/>
      <c r="AS167" s="81"/>
      <c r="AT167" s="81"/>
      <c r="AU167" s="81"/>
      <c r="AV167" s="81"/>
      <c r="AW167" s="81"/>
      <c r="AX167" s="81"/>
      <c r="AY167" s="81"/>
      <c r="AZ167" s="81"/>
      <c r="BA167" s="81"/>
      <c r="BB167" s="81"/>
      <c r="BC167" s="81"/>
      <c r="BD167" s="81"/>
      <c r="BE167" s="81"/>
      <c r="BF167" s="81"/>
      <c r="BG167" s="81"/>
      <c r="BH167" s="81"/>
      <c r="BI167" s="81"/>
      <c r="BJ167" s="81"/>
    </row>
    <row r="168">
      <c r="A168" s="90">
        <v>45038.0</v>
      </c>
      <c r="B168" s="70">
        <f t="shared" si="11"/>
        <v>10</v>
      </c>
      <c r="C168" s="71">
        <v>19.0</v>
      </c>
      <c r="D168" s="66"/>
      <c r="E168" s="66">
        <v>117.0</v>
      </c>
      <c r="F168" s="66">
        <v>26.0</v>
      </c>
      <c r="G168" s="66">
        <v>11.0</v>
      </c>
      <c r="H168" s="66">
        <v>43.0</v>
      </c>
      <c r="I168" s="66">
        <v>51.0</v>
      </c>
      <c r="J168" s="66">
        <v>35.0</v>
      </c>
      <c r="K168" s="84"/>
      <c r="L168" s="66"/>
      <c r="M168" s="66"/>
      <c r="N168" s="66"/>
      <c r="O168" s="66"/>
      <c r="P168" s="66"/>
      <c r="Q168" s="67"/>
      <c r="R168" s="66"/>
      <c r="S168" s="66"/>
      <c r="T168" s="66"/>
      <c r="U168" s="66">
        <v>35.0</v>
      </c>
      <c r="V168" s="66">
        <v>7.0</v>
      </c>
      <c r="W168" s="66"/>
      <c r="X168" s="66">
        <v>62.0</v>
      </c>
      <c r="Y168" s="87"/>
      <c r="Z168" s="66"/>
      <c r="AA168" s="66"/>
      <c r="AB168" s="72"/>
      <c r="AC168" s="73"/>
      <c r="AD168" s="73"/>
      <c r="AE168" s="74"/>
      <c r="AF168" s="75"/>
      <c r="AG168" s="73"/>
      <c r="AH168" s="76"/>
      <c r="AI168" s="77">
        <f t="shared" si="7"/>
        <v>406</v>
      </c>
      <c r="AJ168" s="78">
        <f t="shared" si="8"/>
        <v>40.6</v>
      </c>
      <c r="AK168" s="79">
        <f t="shared" si="9"/>
        <v>40.6</v>
      </c>
      <c r="AL168" s="80"/>
      <c r="AM168" s="81"/>
      <c r="AN168" s="81"/>
      <c r="AO168" s="81"/>
      <c r="AP168" s="81"/>
      <c r="AQ168" s="81"/>
      <c r="AR168" s="81"/>
      <c r="AS168" s="81"/>
      <c r="AT168" s="81"/>
      <c r="AU168" s="81"/>
      <c r="AV168" s="81"/>
      <c r="AW168" s="81"/>
      <c r="AX168" s="81"/>
      <c r="AY168" s="81"/>
      <c r="AZ168" s="81"/>
      <c r="BA168" s="81"/>
      <c r="BB168" s="81"/>
      <c r="BC168" s="81"/>
      <c r="BD168" s="81"/>
      <c r="BE168" s="81"/>
      <c r="BF168" s="81"/>
      <c r="BG168" s="81"/>
      <c r="BH168" s="81"/>
      <c r="BI168" s="81"/>
      <c r="BJ168" s="81"/>
    </row>
    <row r="169">
      <c r="A169" s="90">
        <v>45031.0</v>
      </c>
      <c r="B169" s="70">
        <f t="shared" si="11"/>
        <v>10</v>
      </c>
      <c r="C169" s="71">
        <v>29.0</v>
      </c>
      <c r="D169" s="66"/>
      <c r="E169" s="66">
        <v>85.0</v>
      </c>
      <c r="F169" s="66">
        <v>44.0</v>
      </c>
      <c r="G169" s="66">
        <v>10.0</v>
      </c>
      <c r="H169" s="66">
        <v>42.0</v>
      </c>
      <c r="I169" s="66">
        <v>41.0</v>
      </c>
      <c r="J169" s="66">
        <v>35.0</v>
      </c>
      <c r="K169" s="84"/>
      <c r="L169" s="66"/>
      <c r="M169" s="66"/>
      <c r="N169" s="66"/>
      <c r="O169" s="66"/>
      <c r="P169" s="66"/>
      <c r="Q169" s="67"/>
      <c r="R169" s="66"/>
      <c r="S169" s="66"/>
      <c r="T169" s="66"/>
      <c r="U169" s="66">
        <v>37.0</v>
      </c>
      <c r="V169" s="66">
        <v>6.0</v>
      </c>
      <c r="W169" s="66"/>
      <c r="X169" s="66">
        <v>52.0</v>
      </c>
      <c r="Y169" s="87"/>
      <c r="Z169" s="66"/>
      <c r="AA169" s="66"/>
      <c r="AB169" s="72"/>
      <c r="AC169" s="73"/>
      <c r="AD169" s="73"/>
      <c r="AE169" s="74"/>
      <c r="AF169" s="75"/>
      <c r="AG169" s="73"/>
      <c r="AH169" s="76">
        <v>284.0</v>
      </c>
      <c r="AI169" s="77">
        <f t="shared" si="7"/>
        <v>665</v>
      </c>
      <c r="AJ169" s="78">
        <f t="shared" si="8"/>
        <v>38.1</v>
      </c>
      <c r="AK169" s="79">
        <f t="shared" si="9"/>
        <v>60.45454545</v>
      </c>
      <c r="AL169" s="80"/>
      <c r="AM169" s="81"/>
      <c r="AN169" s="81"/>
      <c r="AO169" s="81"/>
      <c r="AP169" s="81"/>
      <c r="AQ169" s="81"/>
      <c r="AR169" s="81"/>
      <c r="AS169" s="81"/>
      <c r="AT169" s="81"/>
      <c r="AU169" s="81"/>
      <c r="AV169" s="81"/>
      <c r="AW169" s="81"/>
      <c r="AX169" s="81"/>
      <c r="AY169" s="81"/>
      <c r="AZ169" s="81"/>
      <c r="BA169" s="81"/>
      <c r="BB169" s="81"/>
      <c r="BC169" s="81"/>
      <c r="BD169" s="81"/>
      <c r="BE169" s="81"/>
      <c r="BF169" s="81"/>
      <c r="BG169" s="81"/>
      <c r="BH169" s="81"/>
      <c r="BI169" s="81"/>
      <c r="BJ169" s="81"/>
    </row>
    <row r="170">
      <c r="A170" s="90">
        <v>45024.0</v>
      </c>
      <c r="B170" s="70">
        <f t="shared" si="11"/>
        <v>9</v>
      </c>
      <c r="C170" s="71">
        <v>28.0</v>
      </c>
      <c r="D170" s="91"/>
      <c r="E170" s="66">
        <v>90.0</v>
      </c>
      <c r="F170" s="66">
        <v>32.0</v>
      </c>
      <c r="G170" s="66">
        <v>56.0</v>
      </c>
      <c r="H170" s="66">
        <v>52.0</v>
      </c>
      <c r="I170" s="66">
        <v>49.0</v>
      </c>
      <c r="J170" s="66">
        <v>47.0</v>
      </c>
      <c r="K170" s="84"/>
      <c r="L170" s="66"/>
      <c r="M170" s="66"/>
      <c r="N170" s="66"/>
      <c r="O170" s="66"/>
      <c r="P170" s="66"/>
      <c r="Q170" s="67"/>
      <c r="R170" s="66"/>
      <c r="S170" s="66"/>
      <c r="T170" s="66"/>
      <c r="U170" s="66">
        <v>51.0</v>
      </c>
      <c r="V170" s="91"/>
      <c r="W170" s="91"/>
      <c r="X170" s="66">
        <v>81.0</v>
      </c>
      <c r="Y170" s="87"/>
      <c r="Z170" s="66"/>
      <c r="AA170" s="66"/>
      <c r="AB170" s="72"/>
      <c r="AC170" s="92"/>
      <c r="AD170" s="92"/>
      <c r="AE170" s="93"/>
      <c r="AF170" s="94"/>
      <c r="AG170" s="92"/>
      <c r="AH170" s="95"/>
      <c r="AI170" s="77">
        <f t="shared" si="7"/>
        <v>486</v>
      </c>
      <c r="AJ170" s="78">
        <f t="shared" si="8"/>
        <v>54</v>
      </c>
      <c r="AK170" s="79">
        <f t="shared" si="9"/>
        <v>54</v>
      </c>
      <c r="AL170" s="80"/>
      <c r="AM170" s="81"/>
      <c r="AN170" s="81"/>
      <c r="AO170" s="81"/>
      <c r="AP170" s="81"/>
      <c r="AQ170" s="81"/>
      <c r="AR170" s="81"/>
      <c r="AS170" s="81"/>
      <c r="AT170" s="81"/>
      <c r="AU170" s="81"/>
      <c r="AV170" s="81"/>
      <c r="AW170" s="81"/>
      <c r="AX170" s="81"/>
      <c r="AY170" s="81"/>
      <c r="AZ170" s="81"/>
      <c r="BA170" s="81"/>
      <c r="BB170" s="81"/>
      <c r="BC170" s="81"/>
      <c r="BD170" s="81"/>
      <c r="BE170" s="81"/>
      <c r="BF170" s="81"/>
      <c r="BG170" s="81"/>
      <c r="BH170" s="81"/>
      <c r="BI170" s="81"/>
      <c r="BJ170" s="81"/>
    </row>
    <row r="171">
      <c r="A171" s="90">
        <v>45017.0</v>
      </c>
      <c r="B171" s="70">
        <f t="shared" si="11"/>
        <v>9</v>
      </c>
      <c r="C171" s="71">
        <v>34.0</v>
      </c>
      <c r="D171" s="91"/>
      <c r="E171" s="66">
        <v>94.0</v>
      </c>
      <c r="F171" s="66">
        <v>39.0</v>
      </c>
      <c r="G171" s="66">
        <v>15.0</v>
      </c>
      <c r="H171" s="66">
        <v>32.0</v>
      </c>
      <c r="I171" s="66">
        <v>31.0</v>
      </c>
      <c r="J171" s="66">
        <v>29.0</v>
      </c>
      <c r="K171" s="84"/>
      <c r="L171" s="66"/>
      <c r="M171" s="66"/>
      <c r="N171" s="66"/>
      <c r="O171" s="66"/>
      <c r="P171" s="66"/>
      <c r="Q171" s="67"/>
      <c r="R171" s="66"/>
      <c r="S171" s="66"/>
      <c r="T171" s="66"/>
      <c r="U171" s="66">
        <v>39.0</v>
      </c>
      <c r="V171" s="91"/>
      <c r="W171" s="91"/>
      <c r="X171" s="66">
        <v>37.0</v>
      </c>
      <c r="Y171" s="87"/>
      <c r="Z171" s="66"/>
      <c r="AA171" s="66"/>
      <c r="AB171" s="72"/>
      <c r="AC171" s="92"/>
      <c r="AD171" s="92"/>
      <c r="AE171" s="93"/>
      <c r="AF171" s="94"/>
      <c r="AG171" s="92"/>
      <c r="AH171" s="95"/>
      <c r="AI171" s="77">
        <f t="shared" si="7"/>
        <v>350</v>
      </c>
      <c r="AJ171" s="78">
        <f t="shared" si="8"/>
        <v>38.88888889</v>
      </c>
      <c r="AK171" s="79">
        <f t="shared" si="9"/>
        <v>38.88888889</v>
      </c>
      <c r="AL171" s="80"/>
      <c r="AM171" s="81"/>
      <c r="AN171" s="81"/>
      <c r="AO171" s="81"/>
      <c r="AP171" s="81"/>
      <c r="AQ171" s="81"/>
      <c r="AR171" s="81"/>
      <c r="AS171" s="81"/>
      <c r="AT171" s="81"/>
      <c r="AU171" s="81"/>
      <c r="AV171" s="81"/>
      <c r="AW171" s="81"/>
      <c r="AX171" s="81"/>
      <c r="AY171" s="81"/>
      <c r="AZ171" s="81"/>
      <c r="BA171" s="81"/>
      <c r="BB171" s="81"/>
      <c r="BC171" s="81"/>
      <c r="BD171" s="81"/>
      <c r="BE171" s="81"/>
      <c r="BF171" s="81"/>
      <c r="BG171" s="81"/>
      <c r="BH171" s="81"/>
      <c r="BI171" s="81"/>
      <c r="BJ171" s="81"/>
    </row>
    <row r="172">
      <c r="A172" s="90">
        <v>45010.0</v>
      </c>
      <c r="B172" s="70">
        <f t="shared" si="11"/>
        <v>8</v>
      </c>
      <c r="C172" s="71">
        <v>49.0</v>
      </c>
      <c r="D172" s="91"/>
      <c r="E172" s="66">
        <v>101.0</v>
      </c>
      <c r="F172" s="66">
        <v>30.0</v>
      </c>
      <c r="G172" s="66">
        <v>12.0</v>
      </c>
      <c r="H172" s="66">
        <v>47.0</v>
      </c>
      <c r="I172" s="66">
        <v>43.0</v>
      </c>
      <c r="J172" s="66">
        <v>38.0</v>
      </c>
      <c r="K172" s="84"/>
      <c r="L172" s="66"/>
      <c r="M172" s="66"/>
      <c r="N172" s="66"/>
      <c r="O172" s="66"/>
      <c r="P172" s="66"/>
      <c r="Q172" s="67"/>
      <c r="R172" s="66"/>
      <c r="S172" s="66"/>
      <c r="T172" s="66"/>
      <c r="U172" s="66">
        <v>19.0</v>
      </c>
      <c r="V172" s="91"/>
      <c r="W172" s="91"/>
      <c r="X172" s="91"/>
      <c r="Y172" s="96"/>
      <c r="Z172" s="91"/>
      <c r="AA172" s="91"/>
      <c r="AB172" s="97"/>
      <c r="AC172" s="92"/>
      <c r="AD172" s="92"/>
      <c r="AE172" s="93"/>
      <c r="AF172" s="94"/>
      <c r="AG172" s="92"/>
      <c r="AH172" s="95"/>
      <c r="AI172" s="77">
        <f t="shared" si="7"/>
        <v>339</v>
      </c>
      <c r="AJ172" s="78">
        <f t="shared" si="8"/>
        <v>42.375</v>
      </c>
      <c r="AK172" s="79">
        <f t="shared" si="9"/>
        <v>42.375</v>
      </c>
      <c r="AL172" s="80"/>
      <c r="AM172" s="81"/>
      <c r="AN172" s="81"/>
      <c r="AO172" s="81"/>
      <c r="AP172" s="81"/>
      <c r="AQ172" s="81"/>
      <c r="AR172" s="81"/>
      <c r="AS172" s="81"/>
      <c r="AT172" s="81"/>
      <c r="AU172" s="81"/>
      <c r="AV172" s="81"/>
      <c r="AW172" s="81"/>
      <c r="AX172" s="81"/>
      <c r="AY172" s="81"/>
      <c r="AZ172" s="81"/>
      <c r="BA172" s="81"/>
      <c r="BB172" s="81"/>
      <c r="BC172" s="81"/>
      <c r="BD172" s="81"/>
      <c r="BE172" s="81"/>
      <c r="BF172" s="81"/>
      <c r="BG172" s="81"/>
      <c r="BH172" s="81"/>
      <c r="BI172" s="81"/>
      <c r="BJ172" s="81"/>
    </row>
    <row r="173">
      <c r="A173" s="90">
        <v>45003.0</v>
      </c>
      <c r="B173" s="70">
        <f t="shared" si="11"/>
        <v>8</v>
      </c>
      <c r="C173" s="71">
        <v>30.0</v>
      </c>
      <c r="D173" s="91"/>
      <c r="E173" s="66">
        <v>61.0</v>
      </c>
      <c r="F173" s="66">
        <v>33.0</v>
      </c>
      <c r="G173" s="66">
        <v>6.0</v>
      </c>
      <c r="H173" s="66">
        <v>36.0</v>
      </c>
      <c r="I173" s="66">
        <v>30.0</v>
      </c>
      <c r="J173" s="66">
        <v>21.0</v>
      </c>
      <c r="K173" s="84"/>
      <c r="L173" s="66"/>
      <c r="M173" s="66"/>
      <c r="N173" s="66"/>
      <c r="O173" s="66"/>
      <c r="P173" s="66"/>
      <c r="Q173" s="67"/>
      <c r="R173" s="66"/>
      <c r="S173" s="66"/>
      <c r="T173" s="66"/>
      <c r="U173" s="66">
        <v>23.0</v>
      </c>
      <c r="V173" s="91"/>
      <c r="W173" s="91"/>
      <c r="X173" s="91"/>
      <c r="Y173" s="96"/>
      <c r="Z173" s="91"/>
      <c r="AA173" s="91"/>
      <c r="AB173" s="97"/>
      <c r="AC173" s="92"/>
      <c r="AD173" s="92"/>
      <c r="AE173" s="93"/>
      <c r="AF173" s="94"/>
      <c r="AG173" s="92"/>
      <c r="AH173" s="95"/>
      <c r="AI173" s="77">
        <f t="shared" si="7"/>
        <v>240</v>
      </c>
      <c r="AJ173" s="78">
        <f t="shared" si="8"/>
        <v>30</v>
      </c>
      <c r="AK173" s="79">
        <f t="shared" si="9"/>
        <v>30</v>
      </c>
      <c r="AL173" s="80"/>
      <c r="AM173" s="81"/>
      <c r="AN173" s="81"/>
      <c r="AO173" s="81"/>
      <c r="AP173" s="81"/>
      <c r="AQ173" s="81"/>
      <c r="AR173" s="81"/>
      <c r="AS173" s="81"/>
      <c r="AT173" s="81"/>
      <c r="AU173" s="81"/>
      <c r="AV173" s="81"/>
      <c r="AW173" s="81"/>
      <c r="AX173" s="81"/>
      <c r="AY173" s="81"/>
      <c r="AZ173" s="81"/>
      <c r="BA173" s="81"/>
      <c r="BB173" s="81"/>
      <c r="BC173" s="81"/>
      <c r="BD173" s="81"/>
      <c r="BE173" s="81"/>
      <c r="BF173" s="81"/>
      <c r="BG173" s="81"/>
      <c r="BH173" s="81"/>
      <c r="BI173" s="81"/>
      <c r="BJ173" s="81"/>
    </row>
    <row r="174">
      <c r="A174" s="90">
        <v>44996.0</v>
      </c>
      <c r="B174" s="70">
        <f t="shared" si="11"/>
        <v>7</v>
      </c>
      <c r="C174" s="71">
        <v>27.0</v>
      </c>
      <c r="D174" s="91"/>
      <c r="E174" s="66">
        <v>177.0</v>
      </c>
      <c r="F174" s="66">
        <v>22.0</v>
      </c>
      <c r="G174" s="66">
        <v>6.0</v>
      </c>
      <c r="H174" s="66">
        <v>37.0</v>
      </c>
      <c r="I174" s="66">
        <v>30.0</v>
      </c>
      <c r="J174" s="91"/>
      <c r="K174" s="98"/>
      <c r="L174" s="66"/>
      <c r="M174" s="66"/>
      <c r="N174" s="66"/>
      <c r="O174" s="66"/>
      <c r="P174" s="66"/>
      <c r="Q174" s="67"/>
      <c r="R174" s="66"/>
      <c r="S174" s="66"/>
      <c r="T174" s="66"/>
      <c r="U174" s="66">
        <v>28.0</v>
      </c>
      <c r="V174" s="91"/>
      <c r="W174" s="91"/>
      <c r="X174" s="91"/>
      <c r="Y174" s="96"/>
      <c r="Z174" s="91"/>
      <c r="AA174" s="91"/>
      <c r="AB174" s="97"/>
      <c r="AC174" s="92"/>
      <c r="AD174" s="92"/>
      <c r="AE174" s="93"/>
      <c r="AF174" s="94"/>
      <c r="AG174" s="92"/>
      <c r="AH174" s="95"/>
      <c r="AI174" s="77">
        <f t="shared" si="7"/>
        <v>327</v>
      </c>
      <c r="AJ174" s="78">
        <f t="shared" si="8"/>
        <v>46.71428571</v>
      </c>
      <c r="AK174" s="79">
        <f t="shared" si="9"/>
        <v>46.71428571</v>
      </c>
      <c r="AL174" s="78"/>
      <c r="AM174" s="81"/>
      <c r="AN174" s="81"/>
      <c r="AO174" s="81"/>
      <c r="AP174" s="81"/>
      <c r="AQ174" s="81"/>
      <c r="AR174" s="81"/>
      <c r="AS174" s="81"/>
      <c r="AT174" s="81"/>
      <c r="AU174" s="81"/>
      <c r="AV174" s="81"/>
      <c r="AW174" s="81"/>
      <c r="AX174" s="81"/>
      <c r="AY174" s="81"/>
      <c r="AZ174" s="81"/>
      <c r="BA174" s="81"/>
      <c r="BB174" s="81"/>
      <c r="BC174" s="81"/>
      <c r="BD174" s="81"/>
      <c r="BE174" s="81"/>
      <c r="BF174" s="81"/>
      <c r="BG174" s="81"/>
      <c r="BH174" s="81"/>
      <c r="BI174" s="81"/>
      <c r="BJ174" s="81"/>
    </row>
    <row r="175">
      <c r="A175" s="90">
        <v>44989.0</v>
      </c>
      <c r="B175" s="70">
        <f t="shared" si="11"/>
        <v>7</v>
      </c>
      <c r="C175" s="71">
        <v>24.0</v>
      </c>
      <c r="D175" s="91"/>
      <c r="E175" s="66">
        <v>108.0</v>
      </c>
      <c r="F175" s="66">
        <v>32.0</v>
      </c>
      <c r="G175" s="66">
        <v>15.0</v>
      </c>
      <c r="H175" s="66">
        <v>49.0</v>
      </c>
      <c r="I175" s="66">
        <v>20.0</v>
      </c>
      <c r="J175" s="91"/>
      <c r="K175" s="98"/>
      <c r="L175" s="66"/>
      <c r="M175" s="66"/>
      <c r="N175" s="66"/>
      <c r="O175" s="66"/>
      <c r="P175" s="66"/>
      <c r="Q175" s="67"/>
      <c r="R175" s="66"/>
      <c r="S175" s="66"/>
      <c r="T175" s="66"/>
      <c r="U175" s="66">
        <v>35.0</v>
      </c>
      <c r="V175" s="91"/>
      <c r="W175" s="91"/>
      <c r="X175" s="91"/>
      <c r="Y175" s="96"/>
      <c r="Z175" s="91"/>
      <c r="AA175" s="91"/>
      <c r="AB175" s="97"/>
      <c r="AC175" s="92"/>
      <c r="AD175" s="92"/>
      <c r="AE175" s="93"/>
      <c r="AF175" s="94"/>
      <c r="AG175" s="92"/>
      <c r="AH175" s="95"/>
      <c r="AI175" s="77">
        <f t="shared" si="7"/>
        <v>283</v>
      </c>
      <c r="AJ175" s="78">
        <f t="shared" si="8"/>
        <v>40.42857143</v>
      </c>
      <c r="AK175" s="79">
        <f t="shared" si="9"/>
        <v>40.42857143</v>
      </c>
      <c r="AL175" s="78"/>
      <c r="AM175" s="81"/>
      <c r="AN175" s="81"/>
      <c r="AO175" s="81"/>
      <c r="AP175" s="81"/>
      <c r="AQ175" s="81"/>
      <c r="AR175" s="81"/>
      <c r="AS175" s="81"/>
      <c r="AT175" s="81"/>
      <c r="AU175" s="81"/>
      <c r="AV175" s="81"/>
      <c r="AW175" s="81"/>
      <c r="AX175" s="81"/>
      <c r="AY175" s="81"/>
      <c r="AZ175" s="81"/>
      <c r="BA175" s="81"/>
      <c r="BB175" s="81"/>
      <c r="BC175" s="81"/>
      <c r="BD175" s="81"/>
      <c r="BE175" s="81"/>
      <c r="BF175" s="81"/>
      <c r="BG175" s="81"/>
      <c r="BH175" s="81"/>
      <c r="BI175" s="81"/>
      <c r="BJ175" s="81"/>
    </row>
    <row r="176">
      <c r="A176" s="90">
        <v>44982.0</v>
      </c>
      <c r="B176" s="70">
        <f t="shared" si="11"/>
        <v>6</v>
      </c>
      <c r="C176" s="71">
        <v>24.0</v>
      </c>
      <c r="D176" s="91"/>
      <c r="E176" s="66">
        <v>53.0</v>
      </c>
      <c r="F176" s="66">
        <v>31.0</v>
      </c>
      <c r="G176" s="66"/>
      <c r="H176" s="66">
        <v>25.0</v>
      </c>
      <c r="I176" s="66">
        <v>29.0</v>
      </c>
      <c r="J176" s="91"/>
      <c r="K176" s="98"/>
      <c r="L176" s="66"/>
      <c r="M176" s="66"/>
      <c r="N176" s="66"/>
      <c r="O176" s="66"/>
      <c r="P176" s="66"/>
      <c r="Q176" s="67"/>
      <c r="R176" s="66"/>
      <c r="S176" s="66"/>
      <c r="T176" s="66"/>
      <c r="U176" s="66">
        <v>21.0</v>
      </c>
      <c r="V176" s="91"/>
      <c r="W176" s="91"/>
      <c r="X176" s="91"/>
      <c r="Y176" s="96"/>
      <c r="Z176" s="91"/>
      <c r="AA176" s="91"/>
      <c r="AB176" s="97"/>
      <c r="AC176" s="92"/>
      <c r="AD176" s="92"/>
      <c r="AE176" s="93"/>
      <c r="AF176" s="94"/>
      <c r="AG176" s="92"/>
      <c r="AH176" s="95"/>
      <c r="AI176" s="77">
        <f t="shared" si="7"/>
        <v>183</v>
      </c>
      <c r="AJ176" s="78">
        <f t="shared" si="8"/>
        <v>30.5</v>
      </c>
      <c r="AK176" s="79">
        <f t="shared" si="9"/>
        <v>30.5</v>
      </c>
      <c r="AL176" s="78"/>
      <c r="AM176" s="81"/>
      <c r="AN176" s="81"/>
      <c r="AO176" s="81"/>
      <c r="AP176" s="81"/>
      <c r="AQ176" s="81"/>
      <c r="AR176" s="81"/>
      <c r="AS176" s="81"/>
      <c r="AT176" s="81"/>
      <c r="AU176" s="81"/>
      <c r="AV176" s="81"/>
      <c r="AW176" s="81"/>
      <c r="AX176" s="81"/>
      <c r="AY176" s="81"/>
      <c r="AZ176" s="81"/>
      <c r="BA176" s="81"/>
      <c r="BB176" s="81"/>
      <c r="BC176" s="81"/>
      <c r="BD176" s="81"/>
      <c r="BE176" s="81"/>
      <c r="BF176" s="81"/>
      <c r="BG176" s="81"/>
      <c r="BH176" s="81"/>
      <c r="BI176" s="81"/>
      <c r="BJ176" s="81"/>
    </row>
    <row r="177">
      <c r="A177" s="90">
        <v>44975.0</v>
      </c>
      <c r="B177" s="70">
        <f t="shared" si="11"/>
        <v>7</v>
      </c>
      <c r="C177" s="99">
        <v>37.0</v>
      </c>
      <c r="D177" s="91"/>
      <c r="E177" s="100">
        <v>216.0</v>
      </c>
      <c r="F177" s="100">
        <v>29.0</v>
      </c>
      <c r="G177" s="100">
        <v>12.0</v>
      </c>
      <c r="H177" s="100">
        <v>25.0</v>
      </c>
      <c r="I177" s="100">
        <v>22.0</v>
      </c>
      <c r="J177" s="91"/>
      <c r="K177" s="98"/>
      <c r="L177" s="100"/>
      <c r="M177" s="100"/>
      <c r="N177" s="100"/>
      <c r="O177" s="100"/>
      <c r="P177" s="100"/>
      <c r="Q177" s="101"/>
      <c r="R177" s="100"/>
      <c r="S177" s="100"/>
      <c r="T177" s="100"/>
      <c r="U177" s="100">
        <v>16.0</v>
      </c>
      <c r="V177" s="91"/>
      <c r="W177" s="91"/>
      <c r="X177" s="91"/>
      <c r="Y177" s="96"/>
      <c r="Z177" s="91"/>
      <c r="AA177" s="91"/>
      <c r="AB177" s="97"/>
      <c r="AC177" s="92"/>
      <c r="AD177" s="92"/>
      <c r="AE177" s="93"/>
      <c r="AF177" s="94"/>
      <c r="AG177" s="92"/>
      <c r="AH177" s="95"/>
      <c r="AI177" s="77">
        <f t="shared" si="7"/>
        <v>357</v>
      </c>
      <c r="AJ177" s="78">
        <f t="shared" si="8"/>
        <v>51</v>
      </c>
      <c r="AK177" s="79">
        <f t="shared" si="9"/>
        <v>51</v>
      </c>
      <c r="AL177" s="78"/>
      <c r="AM177" s="81"/>
      <c r="AN177" s="81"/>
      <c r="AO177" s="81"/>
      <c r="AP177" s="81"/>
      <c r="AQ177" s="81"/>
      <c r="AR177" s="81"/>
      <c r="AS177" s="81"/>
      <c r="AT177" s="81"/>
      <c r="AU177" s="81"/>
      <c r="AV177" s="81"/>
      <c r="AW177" s="81"/>
      <c r="AX177" s="81"/>
      <c r="AY177" s="81"/>
      <c r="AZ177" s="81"/>
      <c r="BA177" s="81"/>
      <c r="BB177" s="81"/>
      <c r="BC177" s="81"/>
      <c r="BD177" s="81"/>
      <c r="BE177" s="81"/>
      <c r="BF177" s="81"/>
      <c r="BG177" s="81"/>
      <c r="BH177" s="81"/>
      <c r="BI177" s="81"/>
      <c r="BJ177" s="81"/>
    </row>
    <row r="178">
      <c r="A178" s="90">
        <v>44968.0</v>
      </c>
      <c r="B178" s="70">
        <f t="shared" si="11"/>
        <v>7</v>
      </c>
      <c r="C178" s="99">
        <v>20.0</v>
      </c>
      <c r="D178" s="91"/>
      <c r="E178" s="100">
        <v>91.0</v>
      </c>
      <c r="F178" s="100">
        <v>28.0</v>
      </c>
      <c r="G178" s="100">
        <v>6.0</v>
      </c>
      <c r="H178" s="100">
        <v>21.0</v>
      </c>
      <c r="I178" s="100">
        <v>31.0</v>
      </c>
      <c r="J178" s="91"/>
      <c r="K178" s="98"/>
      <c r="L178" s="100"/>
      <c r="M178" s="100"/>
      <c r="N178" s="100"/>
      <c r="O178" s="100"/>
      <c r="P178" s="100"/>
      <c r="Q178" s="101"/>
      <c r="R178" s="100"/>
      <c r="S178" s="100"/>
      <c r="T178" s="100"/>
      <c r="U178" s="100">
        <v>14.0</v>
      </c>
      <c r="V178" s="91"/>
      <c r="W178" s="91"/>
      <c r="X178" s="91"/>
      <c r="Y178" s="96"/>
      <c r="Z178" s="91"/>
      <c r="AA178" s="91"/>
      <c r="AB178" s="97"/>
      <c r="AC178" s="92"/>
      <c r="AD178" s="92"/>
      <c r="AE178" s="93"/>
      <c r="AF178" s="94"/>
      <c r="AG178" s="92"/>
      <c r="AH178" s="95"/>
      <c r="AI178" s="77">
        <f t="shared" si="7"/>
        <v>211</v>
      </c>
      <c r="AJ178" s="78">
        <f t="shared" si="8"/>
        <v>30.14285714</v>
      </c>
      <c r="AK178" s="79">
        <f t="shared" si="9"/>
        <v>30.14285714</v>
      </c>
      <c r="AL178" s="78"/>
      <c r="AM178" s="81"/>
      <c r="AN178" s="81"/>
      <c r="AO178" s="81"/>
      <c r="AP178" s="81"/>
      <c r="AQ178" s="81"/>
      <c r="AR178" s="81"/>
      <c r="AS178" s="81"/>
      <c r="AT178" s="81"/>
      <c r="AU178" s="81"/>
      <c r="AV178" s="81"/>
      <c r="AW178" s="81"/>
      <c r="AX178" s="81"/>
      <c r="AY178" s="81"/>
      <c r="AZ178" s="81"/>
      <c r="BA178" s="81"/>
      <c r="BB178" s="81"/>
      <c r="BC178" s="81"/>
      <c r="BD178" s="81"/>
      <c r="BE178" s="81"/>
      <c r="BF178" s="81"/>
      <c r="BG178" s="81"/>
      <c r="BH178" s="81"/>
      <c r="BI178" s="81"/>
      <c r="BJ178" s="81"/>
    </row>
    <row r="179">
      <c r="A179" s="90">
        <v>44961.0</v>
      </c>
      <c r="B179" s="70">
        <f t="shared" si="11"/>
        <v>7</v>
      </c>
      <c r="C179" s="99">
        <v>14.0</v>
      </c>
      <c r="D179" s="91"/>
      <c r="E179" s="100">
        <v>86.0</v>
      </c>
      <c r="F179" s="100">
        <v>20.0</v>
      </c>
      <c r="G179" s="100">
        <v>8.0</v>
      </c>
      <c r="H179" s="100">
        <v>16.0</v>
      </c>
      <c r="I179" s="100">
        <v>19.0</v>
      </c>
      <c r="J179" s="91"/>
      <c r="K179" s="98"/>
      <c r="L179" s="100"/>
      <c r="M179" s="100"/>
      <c r="N179" s="100"/>
      <c r="O179" s="100"/>
      <c r="P179" s="100"/>
      <c r="Q179" s="101"/>
      <c r="R179" s="100"/>
      <c r="S179" s="100"/>
      <c r="T179" s="100"/>
      <c r="U179" s="100">
        <v>16.0</v>
      </c>
      <c r="V179" s="91"/>
      <c r="W179" s="91"/>
      <c r="X179" s="91"/>
      <c r="Y179" s="96"/>
      <c r="Z179" s="91"/>
      <c r="AA179" s="91"/>
      <c r="AB179" s="97"/>
      <c r="AC179" s="92"/>
      <c r="AD179" s="92"/>
      <c r="AE179" s="93"/>
      <c r="AF179" s="94"/>
      <c r="AG179" s="92"/>
      <c r="AH179" s="95"/>
      <c r="AI179" s="77">
        <f t="shared" si="7"/>
        <v>179</v>
      </c>
      <c r="AJ179" s="78">
        <f t="shared" si="8"/>
        <v>25.57142857</v>
      </c>
      <c r="AK179" s="79">
        <f t="shared" si="9"/>
        <v>25.57142857</v>
      </c>
      <c r="AL179" s="78"/>
      <c r="AM179" s="81"/>
      <c r="AN179" s="81"/>
      <c r="AO179" s="81"/>
      <c r="AP179" s="81"/>
      <c r="AQ179" s="81"/>
      <c r="AR179" s="81"/>
      <c r="AS179" s="81"/>
      <c r="AT179" s="81"/>
      <c r="AU179" s="81"/>
      <c r="AV179" s="81"/>
      <c r="AW179" s="81"/>
      <c r="AX179" s="81"/>
      <c r="AY179" s="81"/>
      <c r="AZ179" s="81"/>
      <c r="BA179" s="81"/>
      <c r="BB179" s="81"/>
      <c r="BC179" s="81"/>
      <c r="BD179" s="81"/>
      <c r="BE179" s="81"/>
      <c r="BF179" s="81"/>
      <c r="BG179" s="81"/>
      <c r="BH179" s="81"/>
      <c r="BI179" s="81"/>
      <c r="BJ179" s="81"/>
    </row>
    <row r="180">
      <c r="A180" s="90">
        <v>44954.0</v>
      </c>
      <c r="B180" s="70">
        <f t="shared" si="11"/>
        <v>6</v>
      </c>
      <c r="C180" s="70">
        <v>22.0</v>
      </c>
      <c r="D180" s="77"/>
      <c r="E180" s="102">
        <v>170.0</v>
      </c>
      <c r="F180" s="102">
        <v>23.0</v>
      </c>
      <c r="G180" s="102">
        <v>13.0</v>
      </c>
      <c r="H180" s="102">
        <v>18.0</v>
      </c>
      <c r="I180" s="102">
        <v>18.0</v>
      </c>
      <c r="J180" s="77"/>
      <c r="K180" s="103"/>
      <c r="L180" s="104"/>
      <c r="M180" s="105"/>
      <c r="N180" s="105"/>
      <c r="O180" s="105"/>
      <c r="P180" s="105"/>
      <c r="Q180" s="106"/>
      <c r="R180" s="105"/>
      <c r="S180" s="104"/>
      <c r="T180" s="104"/>
      <c r="U180" s="104"/>
      <c r="V180" s="77"/>
      <c r="W180" s="77"/>
      <c r="X180" s="77"/>
      <c r="Y180" s="77"/>
      <c r="Z180" s="107"/>
      <c r="AA180" s="107"/>
      <c r="AB180" s="97"/>
      <c r="AC180" s="108"/>
      <c r="AD180" s="108"/>
      <c r="AE180" s="108"/>
      <c r="AF180" s="109"/>
      <c r="AG180" s="110"/>
      <c r="AH180" s="111"/>
      <c r="AI180" s="77">
        <f t="shared" si="7"/>
        <v>264</v>
      </c>
      <c r="AJ180" s="78">
        <f t="shared" si="8"/>
        <v>44</v>
      </c>
      <c r="AK180" s="79">
        <f t="shared" si="9"/>
        <v>44</v>
      </c>
      <c r="AL180" s="78"/>
      <c r="AM180" s="81"/>
      <c r="AN180" s="81"/>
      <c r="AO180" s="81"/>
      <c r="AP180" s="81"/>
      <c r="AQ180" s="81"/>
      <c r="AR180" s="81"/>
      <c r="AS180" s="81"/>
      <c r="AT180" s="81"/>
      <c r="AU180" s="81"/>
      <c r="AV180" s="81"/>
      <c r="AW180" s="81"/>
      <c r="AX180" s="81"/>
      <c r="AY180" s="81"/>
      <c r="AZ180" s="81"/>
      <c r="BA180" s="81"/>
      <c r="BB180" s="81"/>
      <c r="BC180" s="81"/>
      <c r="BD180" s="81"/>
      <c r="BE180" s="81"/>
      <c r="BF180" s="81"/>
      <c r="BG180" s="81"/>
      <c r="BH180" s="81"/>
      <c r="BI180" s="81"/>
      <c r="BJ180" s="81"/>
    </row>
    <row r="181">
      <c r="A181" s="90">
        <v>44947.0</v>
      </c>
      <c r="B181" s="70">
        <f t="shared" si="11"/>
        <v>6</v>
      </c>
      <c r="C181" s="70">
        <v>17.0</v>
      </c>
      <c r="D181" s="77"/>
      <c r="E181" s="102">
        <v>67.0</v>
      </c>
      <c r="F181" s="102">
        <v>20.0</v>
      </c>
      <c r="G181" s="102">
        <v>11.0</v>
      </c>
      <c r="H181" s="102">
        <v>26.0</v>
      </c>
      <c r="I181" s="102">
        <v>21.0</v>
      </c>
      <c r="J181" s="77"/>
      <c r="K181" s="103"/>
      <c r="L181" s="104"/>
      <c r="M181" s="105"/>
      <c r="N181" s="105"/>
      <c r="O181" s="105"/>
      <c r="P181" s="105"/>
      <c r="Q181" s="106"/>
      <c r="R181" s="105"/>
      <c r="S181" s="104"/>
      <c r="T181" s="104"/>
      <c r="U181" s="104"/>
      <c r="V181" s="77"/>
      <c r="W181" s="77"/>
      <c r="X181" s="77"/>
      <c r="Y181" s="77"/>
      <c r="Z181" s="107"/>
      <c r="AA181" s="107"/>
      <c r="AB181" s="97"/>
      <c r="AC181" s="108"/>
      <c r="AD181" s="108"/>
      <c r="AE181" s="108"/>
      <c r="AF181" s="109"/>
      <c r="AG181" s="110"/>
      <c r="AH181" s="111"/>
      <c r="AI181" s="77">
        <f t="shared" si="7"/>
        <v>162</v>
      </c>
      <c r="AJ181" s="78">
        <f t="shared" si="8"/>
        <v>27</v>
      </c>
      <c r="AK181" s="79">
        <f t="shared" si="9"/>
        <v>27</v>
      </c>
      <c r="AL181" s="78"/>
      <c r="AM181" s="81"/>
      <c r="AN181" s="81"/>
      <c r="AO181" s="81"/>
      <c r="AP181" s="81"/>
      <c r="AQ181" s="81"/>
      <c r="AR181" s="81"/>
      <c r="AS181" s="81"/>
      <c r="AT181" s="81"/>
      <c r="AU181" s="81"/>
      <c r="AV181" s="81"/>
      <c r="AW181" s="81"/>
      <c r="AX181" s="81"/>
      <c r="AY181" s="81"/>
      <c r="AZ181" s="81"/>
      <c r="BA181" s="81"/>
      <c r="BB181" s="81"/>
      <c r="BC181" s="81"/>
      <c r="BD181" s="81"/>
      <c r="BE181" s="81"/>
      <c r="BF181" s="81"/>
      <c r="BG181" s="81"/>
      <c r="BH181" s="81"/>
      <c r="BI181" s="81"/>
      <c r="BJ181" s="81"/>
    </row>
    <row r="182">
      <c r="A182" s="90">
        <v>44940.0</v>
      </c>
      <c r="B182" s="70">
        <f t="shared" si="11"/>
        <v>6</v>
      </c>
      <c r="C182" s="70">
        <v>21.0</v>
      </c>
      <c r="D182" s="77"/>
      <c r="E182" s="102">
        <v>75.0</v>
      </c>
      <c r="F182" s="102">
        <v>29.0</v>
      </c>
      <c r="G182" s="102">
        <v>17.0</v>
      </c>
      <c r="H182" s="102">
        <v>37.0</v>
      </c>
      <c r="I182" s="102">
        <v>19.0</v>
      </c>
      <c r="J182" s="77"/>
      <c r="K182" s="103"/>
      <c r="L182" s="104"/>
      <c r="M182" s="105"/>
      <c r="N182" s="105"/>
      <c r="O182" s="105"/>
      <c r="P182" s="105"/>
      <c r="Q182" s="106"/>
      <c r="R182" s="105"/>
      <c r="S182" s="104"/>
      <c r="T182" s="104"/>
      <c r="U182" s="104"/>
      <c r="V182" s="77"/>
      <c r="W182" s="77"/>
      <c r="X182" s="77"/>
      <c r="Y182" s="77"/>
      <c r="Z182" s="107"/>
      <c r="AA182" s="107"/>
      <c r="AB182" s="97"/>
      <c r="AC182" s="108"/>
      <c r="AD182" s="108"/>
      <c r="AE182" s="108"/>
      <c r="AF182" s="109"/>
      <c r="AG182" s="110"/>
      <c r="AH182" s="111"/>
      <c r="AI182" s="77">
        <f t="shared" si="7"/>
        <v>198</v>
      </c>
      <c r="AJ182" s="78">
        <f t="shared" si="8"/>
        <v>33</v>
      </c>
      <c r="AK182" s="79">
        <f t="shared" si="9"/>
        <v>33</v>
      </c>
      <c r="AL182" s="78"/>
      <c r="AM182" s="81"/>
      <c r="AN182" s="81"/>
      <c r="AO182" s="81"/>
      <c r="AP182" s="81"/>
      <c r="AQ182" s="81"/>
      <c r="AR182" s="81"/>
      <c r="AS182" s="81"/>
      <c r="AT182" s="81"/>
      <c r="AU182" s="81"/>
      <c r="AV182" s="81"/>
      <c r="AW182" s="81"/>
      <c r="AX182" s="81"/>
      <c r="AY182" s="81"/>
      <c r="AZ182" s="81"/>
      <c r="BA182" s="81"/>
      <c r="BB182" s="81"/>
      <c r="BC182" s="81"/>
      <c r="BD182" s="81"/>
      <c r="BE182" s="81"/>
      <c r="BF182" s="81"/>
      <c r="BG182" s="81"/>
      <c r="BH182" s="81"/>
      <c r="BI182" s="81"/>
      <c r="BJ182" s="81"/>
    </row>
    <row r="183">
      <c r="A183" s="90">
        <v>44933.0</v>
      </c>
      <c r="B183" s="70">
        <f t="shared" si="11"/>
        <v>5</v>
      </c>
      <c r="C183" s="70">
        <v>13.0</v>
      </c>
      <c r="D183" s="77"/>
      <c r="E183" s="102">
        <v>34.0</v>
      </c>
      <c r="F183" s="102"/>
      <c r="G183" s="102">
        <v>9.0</v>
      </c>
      <c r="H183" s="102">
        <v>11.0</v>
      </c>
      <c r="I183" s="102">
        <v>17.0</v>
      </c>
      <c r="J183" s="77"/>
      <c r="K183" s="103"/>
      <c r="L183" s="104"/>
      <c r="M183" s="105"/>
      <c r="N183" s="105"/>
      <c r="O183" s="105"/>
      <c r="P183" s="105"/>
      <c r="Q183" s="106"/>
      <c r="R183" s="105"/>
      <c r="S183" s="112"/>
      <c r="T183" s="112"/>
      <c r="U183" s="113"/>
      <c r="V183" s="77"/>
      <c r="W183" s="77"/>
      <c r="X183" s="77"/>
      <c r="Y183" s="77"/>
      <c r="Z183" s="107"/>
      <c r="AA183" s="107"/>
      <c r="AB183" s="97"/>
      <c r="AC183" s="108"/>
      <c r="AD183" s="108"/>
      <c r="AE183" s="108"/>
      <c r="AF183" s="109"/>
      <c r="AG183" s="110"/>
      <c r="AH183" s="111"/>
      <c r="AI183" s="77">
        <f t="shared" si="7"/>
        <v>84</v>
      </c>
      <c r="AJ183" s="78">
        <f t="shared" si="8"/>
        <v>16.8</v>
      </c>
      <c r="AK183" s="79">
        <f t="shared" si="9"/>
        <v>16.8</v>
      </c>
      <c r="AL183" s="78"/>
      <c r="AM183" s="81"/>
      <c r="AN183" s="81"/>
      <c r="AO183" s="81"/>
      <c r="AP183" s="81"/>
      <c r="AQ183" s="81"/>
      <c r="AR183" s="81"/>
      <c r="AS183" s="81"/>
      <c r="AT183" s="81"/>
      <c r="AU183" s="81"/>
      <c r="AV183" s="81"/>
      <c r="AW183" s="81"/>
      <c r="AX183" s="81"/>
      <c r="AY183" s="81"/>
      <c r="AZ183" s="81"/>
      <c r="BA183" s="81"/>
      <c r="BB183" s="81"/>
      <c r="BC183" s="81"/>
      <c r="BD183" s="81"/>
      <c r="BE183" s="81"/>
      <c r="BF183" s="81"/>
      <c r="BG183" s="81"/>
      <c r="BH183" s="81"/>
      <c r="BI183" s="81"/>
      <c r="BJ183" s="81"/>
    </row>
    <row r="184">
      <c r="A184" s="90">
        <v>44927.0</v>
      </c>
      <c r="B184" s="70">
        <f t="shared" si="11"/>
        <v>2</v>
      </c>
      <c r="C184" s="70"/>
      <c r="D184" s="77"/>
      <c r="E184" s="102">
        <v>57.0</v>
      </c>
      <c r="F184" s="102"/>
      <c r="G184" s="102">
        <v>3.0</v>
      </c>
      <c r="H184" s="114"/>
      <c r="I184" s="115"/>
      <c r="J184" s="77"/>
      <c r="K184" s="103"/>
      <c r="L184" s="104"/>
      <c r="M184" s="105"/>
      <c r="N184" s="105"/>
      <c r="O184" s="105"/>
      <c r="P184" s="105"/>
      <c r="Q184" s="106"/>
      <c r="R184" s="105"/>
      <c r="S184" s="112"/>
      <c r="T184" s="112"/>
      <c r="U184" s="113"/>
      <c r="V184" s="77"/>
      <c r="W184" s="77"/>
      <c r="X184" s="77"/>
      <c r="Y184" s="77"/>
      <c r="Z184" s="107"/>
      <c r="AA184" s="107"/>
      <c r="AB184" s="97"/>
      <c r="AC184" s="108"/>
      <c r="AD184" s="108"/>
      <c r="AE184" s="108"/>
      <c r="AF184" s="109"/>
      <c r="AG184" s="110"/>
      <c r="AH184" s="111"/>
      <c r="AI184" s="77">
        <f t="shared" si="7"/>
        <v>60</v>
      </c>
      <c r="AJ184" s="78">
        <f t="shared" si="8"/>
        <v>30</v>
      </c>
      <c r="AK184" s="79">
        <f t="shared" si="9"/>
        <v>30</v>
      </c>
      <c r="AL184" s="78"/>
      <c r="AM184" s="81"/>
      <c r="AN184" s="81"/>
      <c r="AO184" s="81"/>
      <c r="AP184" s="81"/>
      <c r="AQ184" s="81"/>
      <c r="AR184" s="81"/>
      <c r="AS184" s="81"/>
      <c r="AT184" s="81"/>
      <c r="AU184" s="81"/>
      <c r="AV184" s="81"/>
      <c r="AW184" s="81"/>
      <c r="AX184" s="81"/>
      <c r="AY184" s="81"/>
      <c r="AZ184" s="81"/>
      <c r="BA184" s="81"/>
      <c r="BB184" s="81"/>
      <c r="BC184" s="81"/>
      <c r="BD184" s="81"/>
      <c r="BE184" s="81"/>
      <c r="BF184" s="81"/>
      <c r="BG184" s="81"/>
      <c r="BH184" s="81"/>
      <c r="BI184" s="81"/>
      <c r="BJ184" s="81"/>
    </row>
    <row r="185">
      <c r="A185" s="90">
        <v>44926.0</v>
      </c>
      <c r="B185" s="70">
        <f t="shared" si="11"/>
        <v>6</v>
      </c>
      <c r="C185" s="70">
        <v>21.0</v>
      </c>
      <c r="D185" s="77"/>
      <c r="E185" s="102">
        <v>81.0</v>
      </c>
      <c r="F185" s="102">
        <v>28.0</v>
      </c>
      <c r="G185" s="102">
        <v>10.0</v>
      </c>
      <c r="H185" s="102">
        <v>17.0</v>
      </c>
      <c r="I185" s="102">
        <v>44.0</v>
      </c>
      <c r="J185" s="77"/>
      <c r="K185" s="103"/>
      <c r="L185" s="104"/>
      <c r="M185" s="105"/>
      <c r="N185" s="105"/>
      <c r="O185" s="105"/>
      <c r="P185" s="105"/>
      <c r="Q185" s="106"/>
      <c r="R185" s="105"/>
      <c r="S185" s="112"/>
      <c r="T185" s="112"/>
      <c r="U185" s="113"/>
      <c r="V185" s="77"/>
      <c r="W185" s="77"/>
      <c r="X185" s="77"/>
      <c r="Y185" s="77"/>
      <c r="Z185" s="107"/>
      <c r="AA185" s="107"/>
      <c r="AB185" s="97"/>
      <c r="AC185" s="108"/>
      <c r="AD185" s="108"/>
      <c r="AE185" s="108"/>
      <c r="AF185" s="109"/>
      <c r="AG185" s="110"/>
      <c r="AH185" s="111"/>
      <c r="AI185" s="77">
        <f t="shared" si="7"/>
        <v>201</v>
      </c>
      <c r="AJ185" s="78">
        <f t="shared" si="8"/>
        <v>33.5</v>
      </c>
      <c r="AK185" s="79">
        <f t="shared" si="9"/>
        <v>33.5</v>
      </c>
      <c r="AL185" s="78"/>
      <c r="AM185" s="81"/>
      <c r="AN185" s="81"/>
      <c r="AO185" s="81"/>
      <c r="AP185" s="81"/>
      <c r="AQ185" s="81"/>
      <c r="AR185" s="81"/>
      <c r="AS185" s="81"/>
      <c r="AT185" s="81"/>
      <c r="AU185" s="81"/>
      <c r="AV185" s="81"/>
      <c r="AW185" s="81"/>
      <c r="AX185" s="81"/>
      <c r="AY185" s="81"/>
      <c r="AZ185" s="81"/>
      <c r="BA185" s="81"/>
      <c r="BB185" s="81"/>
      <c r="BC185" s="81"/>
      <c r="BD185" s="81"/>
      <c r="BE185" s="81"/>
      <c r="BF185" s="81"/>
      <c r="BG185" s="81"/>
      <c r="BH185" s="81"/>
      <c r="BI185" s="81"/>
      <c r="BJ185" s="81"/>
    </row>
    <row r="186">
      <c r="A186" s="90">
        <v>44919.0</v>
      </c>
      <c r="B186" s="70">
        <f t="shared" si="11"/>
        <v>6</v>
      </c>
      <c r="C186" s="70">
        <v>14.0</v>
      </c>
      <c r="D186" s="77"/>
      <c r="E186" s="102">
        <v>51.0</v>
      </c>
      <c r="F186" s="102">
        <v>25.0</v>
      </c>
      <c r="G186" s="102">
        <v>11.0</v>
      </c>
      <c r="H186" s="102">
        <v>13.0</v>
      </c>
      <c r="I186" s="102">
        <v>14.0</v>
      </c>
      <c r="J186" s="77"/>
      <c r="K186" s="103"/>
      <c r="L186" s="104"/>
      <c r="M186" s="105"/>
      <c r="N186" s="105"/>
      <c r="O186" s="105"/>
      <c r="P186" s="105"/>
      <c r="Q186" s="106"/>
      <c r="R186" s="105"/>
      <c r="S186" s="112"/>
      <c r="T186" s="112"/>
      <c r="U186" s="113"/>
      <c r="V186" s="77"/>
      <c r="W186" s="77"/>
      <c r="X186" s="77"/>
      <c r="Y186" s="77"/>
      <c r="Z186" s="107"/>
      <c r="AA186" s="107"/>
      <c r="AB186" s="97"/>
      <c r="AC186" s="108"/>
      <c r="AD186" s="108"/>
      <c r="AE186" s="108"/>
      <c r="AF186" s="109"/>
      <c r="AG186" s="110"/>
      <c r="AH186" s="111"/>
      <c r="AI186" s="77">
        <f t="shared" si="7"/>
        <v>128</v>
      </c>
      <c r="AJ186" s="78">
        <f t="shared" si="8"/>
        <v>21.33333333</v>
      </c>
      <c r="AK186" s="79">
        <f t="shared" si="9"/>
        <v>21.33333333</v>
      </c>
      <c r="AL186" s="78"/>
      <c r="AM186" s="81"/>
      <c r="AN186" s="81"/>
      <c r="AO186" s="81"/>
      <c r="AP186" s="81"/>
      <c r="AQ186" s="81"/>
      <c r="AR186" s="81"/>
      <c r="AS186" s="81"/>
      <c r="AT186" s="81"/>
      <c r="AU186" s="81"/>
      <c r="AV186" s="81"/>
      <c r="AW186" s="81"/>
      <c r="AX186" s="81"/>
      <c r="AY186" s="81"/>
      <c r="AZ186" s="81"/>
      <c r="BA186" s="81"/>
      <c r="BB186" s="81"/>
      <c r="BC186" s="81"/>
      <c r="BD186" s="81"/>
      <c r="BE186" s="81"/>
      <c r="BF186" s="81"/>
      <c r="BG186" s="81"/>
      <c r="BH186" s="81"/>
      <c r="BI186" s="81"/>
      <c r="BJ186" s="81"/>
    </row>
    <row r="187">
      <c r="A187" s="90">
        <v>44912.0</v>
      </c>
      <c r="B187" s="70">
        <f t="shared" si="11"/>
        <v>6</v>
      </c>
      <c r="C187" s="70">
        <v>14.0</v>
      </c>
      <c r="D187" s="77"/>
      <c r="E187" s="102">
        <v>66.0</v>
      </c>
      <c r="F187" s="102">
        <v>20.0</v>
      </c>
      <c r="G187" s="102">
        <v>8.0</v>
      </c>
      <c r="H187" s="102">
        <v>19.0</v>
      </c>
      <c r="I187" s="102">
        <v>21.0</v>
      </c>
      <c r="J187" s="77"/>
      <c r="K187" s="103"/>
      <c r="L187" s="104"/>
      <c r="M187" s="105"/>
      <c r="N187" s="105"/>
      <c r="O187" s="105"/>
      <c r="P187" s="105"/>
      <c r="Q187" s="106"/>
      <c r="R187" s="105"/>
      <c r="S187" s="112"/>
      <c r="T187" s="112"/>
      <c r="U187" s="113"/>
      <c r="V187" s="77"/>
      <c r="W187" s="77"/>
      <c r="X187" s="77"/>
      <c r="Y187" s="77"/>
      <c r="Z187" s="107"/>
      <c r="AA187" s="107"/>
      <c r="AB187" s="97"/>
      <c r="AC187" s="108"/>
      <c r="AD187" s="108"/>
      <c r="AE187" s="108"/>
      <c r="AF187" s="109"/>
      <c r="AG187" s="110"/>
      <c r="AH187" s="111"/>
      <c r="AI187" s="77">
        <f t="shared" si="7"/>
        <v>148</v>
      </c>
      <c r="AJ187" s="78">
        <f t="shared" si="8"/>
        <v>24.66666667</v>
      </c>
      <c r="AK187" s="79">
        <f t="shared" si="9"/>
        <v>24.66666667</v>
      </c>
      <c r="AL187" s="78"/>
      <c r="AM187" s="81"/>
      <c r="AN187" s="81"/>
      <c r="AO187" s="81"/>
      <c r="AP187" s="81"/>
      <c r="AQ187" s="81"/>
      <c r="AR187" s="81"/>
      <c r="AS187" s="81"/>
      <c r="AT187" s="81"/>
      <c r="AU187" s="81"/>
      <c r="AV187" s="81"/>
      <c r="AW187" s="81"/>
      <c r="AX187" s="81"/>
      <c r="AY187" s="81"/>
      <c r="AZ187" s="81"/>
      <c r="BA187" s="81"/>
      <c r="BB187" s="81"/>
      <c r="BC187" s="81"/>
      <c r="BD187" s="81"/>
      <c r="BE187" s="81"/>
      <c r="BF187" s="81"/>
      <c r="BG187" s="81"/>
      <c r="BH187" s="81"/>
      <c r="BI187" s="81"/>
      <c r="BJ187" s="81"/>
    </row>
    <row r="188">
      <c r="A188" s="90">
        <v>44905.0</v>
      </c>
      <c r="B188" s="70">
        <f t="shared" si="11"/>
        <v>6</v>
      </c>
      <c r="C188" s="70">
        <v>12.0</v>
      </c>
      <c r="D188" s="77"/>
      <c r="E188" s="102">
        <v>52.0</v>
      </c>
      <c r="F188" s="102">
        <v>112.0</v>
      </c>
      <c r="G188" s="102">
        <v>4.0</v>
      </c>
      <c r="H188" s="102">
        <v>26.0</v>
      </c>
      <c r="I188" s="102">
        <v>16.0</v>
      </c>
      <c r="J188" s="77"/>
      <c r="K188" s="103"/>
      <c r="L188" s="104"/>
      <c r="M188" s="105"/>
      <c r="N188" s="105"/>
      <c r="O188" s="105"/>
      <c r="P188" s="105"/>
      <c r="Q188" s="106"/>
      <c r="R188" s="105"/>
      <c r="S188" s="112"/>
      <c r="T188" s="112"/>
      <c r="U188" s="113"/>
      <c r="V188" s="77"/>
      <c r="W188" s="77"/>
      <c r="X188" s="77"/>
      <c r="Y188" s="77"/>
      <c r="Z188" s="107"/>
      <c r="AA188" s="107"/>
      <c r="AB188" s="97"/>
      <c r="AC188" s="108"/>
      <c r="AD188" s="108"/>
      <c r="AE188" s="108"/>
      <c r="AF188" s="109"/>
      <c r="AG188" s="110"/>
      <c r="AH188" s="111"/>
      <c r="AI188" s="77">
        <f t="shared" si="7"/>
        <v>222</v>
      </c>
      <c r="AJ188" s="78">
        <f t="shared" si="8"/>
        <v>37</v>
      </c>
      <c r="AK188" s="79">
        <f t="shared" si="9"/>
        <v>37</v>
      </c>
      <c r="AL188" s="78"/>
      <c r="AM188" s="81"/>
      <c r="AN188" s="81"/>
      <c r="AO188" s="81"/>
      <c r="AP188" s="81"/>
      <c r="AQ188" s="81"/>
      <c r="AR188" s="81"/>
      <c r="AS188" s="81"/>
      <c r="AT188" s="81"/>
      <c r="AU188" s="81"/>
      <c r="AV188" s="81"/>
      <c r="AW188" s="81"/>
      <c r="AX188" s="81"/>
      <c r="AY188" s="81"/>
      <c r="AZ188" s="81"/>
      <c r="BA188" s="81"/>
      <c r="BB188" s="81"/>
      <c r="BC188" s="81"/>
      <c r="BD188" s="81"/>
      <c r="BE188" s="81"/>
      <c r="BF188" s="81"/>
      <c r="BG188" s="81"/>
      <c r="BH188" s="81"/>
      <c r="BI188" s="81"/>
      <c r="BJ188" s="81"/>
    </row>
    <row r="189">
      <c r="A189" s="90">
        <v>44898.0</v>
      </c>
      <c r="B189" s="70">
        <f t="shared" si="11"/>
        <v>5</v>
      </c>
      <c r="C189" s="70">
        <v>14.0</v>
      </c>
      <c r="D189" s="77"/>
      <c r="E189" s="102">
        <v>57.0</v>
      </c>
      <c r="F189" s="116"/>
      <c r="G189" s="102">
        <v>7.0</v>
      </c>
      <c r="H189" s="102">
        <v>20.0</v>
      </c>
      <c r="I189" s="102">
        <v>18.0</v>
      </c>
      <c r="J189" s="77"/>
      <c r="K189" s="103"/>
      <c r="L189" s="104"/>
      <c r="M189" s="105"/>
      <c r="N189" s="105"/>
      <c r="O189" s="105"/>
      <c r="P189" s="105"/>
      <c r="Q189" s="106"/>
      <c r="R189" s="105"/>
      <c r="S189" s="112"/>
      <c r="T189" s="112"/>
      <c r="U189" s="113"/>
      <c r="V189" s="77"/>
      <c r="W189" s="77"/>
      <c r="X189" s="77"/>
      <c r="Y189" s="77"/>
      <c r="Z189" s="107"/>
      <c r="AA189" s="107"/>
      <c r="AB189" s="97"/>
      <c r="AC189" s="108"/>
      <c r="AD189" s="108"/>
      <c r="AE189" s="108"/>
      <c r="AF189" s="109"/>
      <c r="AG189" s="110"/>
      <c r="AH189" s="111"/>
      <c r="AI189" s="77">
        <f t="shared" si="7"/>
        <v>116</v>
      </c>
      <c r="AJ189" s="78">
        <f t="shared" si="8"/>
        <v>23.2</v>
      </c>
      <c r="AK189" s="79">
        <f t="shared" si="9"/>
        <v>23.2</v>
      </c>
      <c r="AL189" s="78"/>
      <c r="AM189" s="81"/>
      <c r="AN189" s="81"/>
      <c r="AO189" s="81"/>
      <c r="AP189" s="81"/>
      <c r="AQ189" s="81"/>
      <c r="AR189" s="81"/>
      <c r="AS189" s="81"/>
      <c r="AT189" s="81"/>
      <c r="AU189" s="81"/>
      <c r="AV189" s="81"/>
      <c r="AW189" s="81"/>
      <c r="AX189" s="81"/>
      <c r="AY189" s="81"/>
      <c r="AZ189" s="81"/>
      <c r="BA189" s="81"/>
      <c r="BB189" s="81"/>
      <c r="BC189" s="81"/>
      <c r="BD189" s="81"/>
      <c r="BE189" s="81"/>
      <c r="BF189" s="81"/>
      <c r="BG189" s="81"/>
      <c r="BH189" s="81"/>
      <c r="BI189" s="81"/>
      <c r="BJ189" s="81"/>
    </row>
    <row r="190">
      <c r="A190" s="90">
        <v>44891.0</v>
      </c>
      <c r="B190" s="70">
        <f t="shared" si="11"/>
        <v>5</v>
      </c>
      <c r="C190" s="70">
        <v>11.0</v>
      </c>
      <c r="D190" s="77"/>
      <c r="E190" s="102">
        <v>93.0</v>
      </c>
      <c r="F190" s="116"/>
      <c r="G190" s="102">
        <v>13.0</v>
      </c>
      <c r="H190" s="102">
        <v>29.0</v>
      </c>
      <c r="I190" s="102">
        <v>16.0</v>
      </c>
      <c r="J190" s="77"/>
      <c r="K190" s="103"/>
      <c r="L190" s="104"/>
      <c r="M190" s="105"/>
      <c r="N190" s="105"/>
      <c r="O190" s="105"/>
      <c r="P190" s="105"/>
      <c r="Q190" s="106"/>
      <c r="R190" s="105"/>
      <c r="S190" s="112"/>
      <c r="T190" s="112"/>
      <c r="U190" s="113"/>
      <c r="V190" s="77"/>
      <c r="W190" s="77"/>
      <c r="X190" s="77"/>
      <c r="Y190" s="77"/>
      <c r="Z190" s="107"/>
      <c r="AA190" s="107"/>
      <c r="AB190" s="97"/>
      <c r="AC190" s="108"/>
      <c r="AD190" s="108"/>
      <c r="AE190" s="108"/>
      <c r="AF190" s="109"/>
      <c r="AG190" s="110"/>
      <c r="AH190" s="111"/>
      <c r="AI190" s="77">
        <f t="shared" si="7"/>
        <v>162</v>
      </c>
      <c r="AJ190" s="78">
        <f t="shared" si="8"/>
        <v>32.4</v>
      </c>
      <c r="AK190" s="79">
        <f t="shared" si="9"/>
        <v>32.4</v>
      </c>
      <c r="AL190" s="78"/>
      <c r="AM190" s="81"/>
      <c r="AN190" s="81"/>
      <c r="AO190" s="81"/>
      <c r="AP190" s="81"/>
      <c r="AQ190" s="81"/>
      <c r="AR190" s="81"/>
      <c r="AS190" s="81"/>
      <c r="AT190" s="81"/>
      <c r="AU190" s="81"/>
      <c r="AV190" s="81"/>
      <c r="AW190" s="81"/>
      <c r="AX190" s="81"/>
      <c r="AY190" s="81"/>
      <c r="AZ190" s="81"/>
      <c r="BA190" s="81"/>
      <c r="BB190" s="81"/>
      <c r="BC190" s="81"/>
      <c r="BD190" s="81"/>
      <c r="BE190" s="81"/>
      <c r="BF190" s="81"/>
      <c r="BG190" s="81"/>
      <c r="BH190" s="81"/>
      <c r="BI190" s="81"/>
      <c r="BJ190" s="81"/>
    </row>
    <row r="191">
      <c r="A191" s="90">
        <v>44884.0</v>
      </c>
      <c r="B191" s="70">
        <f t="shared" si="11"/>
        <v>5</v>
      </c>
      <c r="C191" s="70">
        <v>15.0</v>
      </c>
      <c r="D191" s="77"/>
      <c r="E191" s="102">
        <v>77.0</v>
      </c>
      <c r="F191" s="116"/>
      <c r="G191" s="102">
        <v>9.0</v>
      </c>
      <c r="H191" s="102">
        <v>30.0</v>
      </c>
      <c r="I191" s="102">
        <v>21.0</v>
      </c>
      <c r="J191" s="77"/>
      <c r="K191" s="103"/>
      <c r="L191" s="104"/>
      <c r="M191" s="105"/>
      <c r="N191" s="105"/>
      <c r="O191" s="105"/>
      <c r="P191" s="105"/>
      <c r="Q191" s="106"/>
      <c r="R191" s="105"/>
      <c r="S191" s="112"/>
      <c r="T191" s="112"/>
      <c r="U191" s="113"/>
      <c r="V191" s="77"/>
      <c r="W191" s="77"/>
      <c r="X191" s="77"/>
      <c r="Y191" s="77"/>
      <c r="Z191" s="107"/>
      <c r="AA191" s="107"/>
      <c r="AB191" s="97"/>
      <c r="AC191" s="108"/>
      <c r="AD191" s="108"/>
      <c r="AE191" s="108"/>
      <c r="AF191" s="109"/>
      <c r="AG191" s="110"/>
      <c r="AH191" s="111"/>
      <c r="AI191" s="77">
        <f t="shared" si="7"/>
        <v>152</v>
      </c>
      <c r="AJ191" s="78">
        <f t="shared" si="8"/>
        <v>30.4</v>
      </c>
      <c r="AK191" s="79">
        <f t="shared" si="9"/>
        <v>30.4</v>
      </c>
      <c r="AL191" s="78"/>
      <c r="AM191" s="81"/>
      <c r="AN191" s="81"/>
      <c r="AO191" s="81"/>
      <c r="AP191" s="81"/>
      <c r="AQ191" s="81"/>
      <c r="AR191" s="81"/>
      <c r="AS191" s="81"/>
      <c r="AT191" s="81"/>
      <c r="AU191" s="81"/>
      <c r="AV191" s="81"/>
      <c r="AW191" s="81"/>
      <c r="AX191" s="81"/>
      <c r="AY191" s="81"/>
      <c r="AZ191" s="81"/>
      <c r="BA191" s="81"/>
      <c r="BB191" s="81"/>
      <c r="BC191" s="81"/>
      <c r="BD191" s="81"/>
      <c r="BE191" s="81"/>
      <c r="BF191" s="81"/>
      <c r="BG191" s="81"/>
      <c r="BH191" s="81"/>
      <c r="BI191" s="81"/>
      <c r="BJ191" s="81"/>
    </row>
    <row r="192">
      <c r="A192" s="90">
        <v>44877.0</v>
      </c>
      <c r="B192" s="70">
        <f t="shared" si="11"/>
        <v>5</v>
      </c>
      <c r="C192" s="70">
        <v>19.0</v>
      </c>
      <c r="D192" s="77"/>
      <c r="E192" s="102">
        <v>112.0</v>
      </c>
      <c r="F192" s="117"/>
      <c r="G192" s="102">
        <v>8.0</v>
      </c>
      <c r="H192" s="102">
        <v>57.0</v>
      </c>
      <c r="I192" s="102">
        <v>29.0</v>
      </c>
      <c r="J192" s="77"/>
      <c r="K192" s="103"/>
      <c r="L192" s="104"/>
      <c r="M192" s="105"/>
      <c r="N192" s="105"/>
      <c r="O192" s="105"/>
      <c r="P192" s="105"/>
      <c r="Q192" s="106"/>
      <c r="R192" s="105"/>
      <c r="S192" s="112"/>
      <c r="T192" s="112"/>
      <c r="U192" s="113"/>
      <c r="V192" s="77"/>
      <c r="W192" s="77"/>
      <c r="X192" s="77"/>
      <c r="Y192" s="77"/>
      <c r="Z192" s="107"/>
      <c r="AA192" s="107"/>
      <c r="AB192" s="97"/>
      <c r="AC192" s="108"/>
      <c r="AD192" s="108"/>
      <c r="AE192" s="108"/>
      <c r="AF192" s="109"/>
      <c r="AG192" s="110"/>
      <c r="AH192" s="111"/>
      <c r="AI192" s="77">
        <f t="shared" si="7"/>
        <v>225</v>
      </c>
      <c r="AJ192" s="78">
        <f t="shared" si="8"/>
        <v>45</v>
      </c>
      <c r="AK192" s="79">
        <f t="shared" si="9"/>
        <v>45</v>
      </c>
      <c r="AL192" s="78"/>
      <c r="AM192" s="81"/>
      <c r="AN192" s="81"/>
      <c r="AO192" s="81"/>
      <c r="AP192" s="81"/>
      <c r="AQ192" s="81"/>
      <c r="AR192" s="81"/>
      <c r="AS192" s="81"/>
      <c r="AT192" s="81"/>
      <c r="AU192" s="81"/>
      <c r="AV192" s="81"/>
      <c r="AW192" s="81"/>
      <c r="AX192" s="81"/>
      <c r="AY192" s="81"/>
      <c r="AZ192" s="81"/>
      <c r="BA192" s="81"/>
      <c r="BB192" s="81"/>
      <c r="BC192" s="81"/>
      <c r="BD192" s="81"/>
      <c r="BE192" s="81"/>
      <c r="BF192" s="81"/>
      <c r="BG192" s="81"/>
      <c r="BH192" s="81"/>
      <c r="BI192" s="81"/>
      <c r="BJ192" s="81"/>
    </row>
    <row r="193">
      <c r="A193" s="90">
        <v>44870.0</v>
      </c>
      <c r="B193" s="70">
        <f t="shared" si="11"/>
        <v>5</v>
      </c>
      <c r="C193" s="70">
        <v>12.0</v>
      </c>
      <c r="D193" s="77"/>
      <c r="E193" s="102">
        <v>74.0</v>
      </c>
      <c r="F193" s="117"/>
      <c r="G193" s="102">
        <v>12.0</v>
      </c>
      <c r="H193" s="102">
        <v>38.0</v>
      </c>
      <c r="I193" s="102">
        <v>19.0</v>
      </c>
      <c r="J193" s="77"/>
      <c r="K193" s="103"/>
      <c r="L193" s="104"/>
      <c r="M193" s="105"/>
      <c r="N193" s="105"/>
      <c r="O193" s="105"/>
      <c r="P193" s="105"/>
      <c r="Q193" s="106"/>
      <c r="R193" s="105"/>
      <c r="S193" s="112"/>
      <c r="T193" s="112"/>
      <c r="U193" s="113"/>
      <c r="V193" s="77"/>
      <c r="W193" s="77"/>
      <c r="X193" s="77"/>
      <c r="Y193" s="77"/>
      <c r="Z193" s="107"/>
      <c r="AA193" s="107"/>
      <c r="AB193" s="97"/>
      <c r="AC193" s="108"/>
      <c r="AD193" s="108"/>
      <c r="AE193" s="108"/>
      <c r="AF193" s="109"/>
      <c r="AG193" s="110"/>
      <c r="AH193" s="111"/>
      <c r="AI193" s="77">
        <f t="shared" si="7"/>
        <v>155</v>
      </c>
      <c r="AJ193" s="78">
        <f t="shared" si="8"/>
        <v>31</v>
      </c>
      <c r="AK193" s="79">
        <f t="shared" si="9"/>
        <v>31</v>
      </c>
      <c r="AL193" s="78"/>
      <c r="AM193" s="81"/>
      <c r="AN193" s="81"/>
      <c r="AO193" s="81"/>
      <c r="AP193" s="81"/>
      <c r="AQ193" s="81"/>
      <c r="AR193" s="81"/>
      <c r="AS193" s="81"/>
      <c r="AT193" s="81"/>
      <c r="AU193" s="81"/>
      <c r="AV193" s="81"/>
      <c r="AW193" s="81"/>
      <c r="AX193" s="81"/>
      <c r="AY193" s="81"/>
      <c r="AZ193" s="81"/>
      <c r="BA193" s="81"/>
      <c r="BB193" s="81"/>
      <c r="BC193" s="81"/>
      <c r="BD193" s="81"/>
      <c r="BE193" s="81"/>
      <c r="BF193" s="81"/>
      <c r="BG193" s="81"/>
      <c r="BH193" s="81"/>
      <c r="BI193" s="81"/>
      <c r="BJ193" s="81"/>
    </row>
    <row r="194">
      <c r="A194" s="90">
        <v>44863.0</v>
      </c>
      <c r="B194" s="70">
        <f t="shared" si="11"/>
        <v>5</v>
      </c>
      <c r="C194" s="70">
        <v>19.0</v>
      </c>
      <c r="D194" s="77"/>
      <c r="E194" s="102">
        <v>81.0</v>
      </c>
      <c r="F194" s="117"/>
      <c r="G194" s="102">
        <v>12.0</v>
      </c>
      <c r="H194" s="102">
        <v>56.0</v>
      </c>
      <c r="I194" s="102">
        <v>21.0</v>
      </c>
      <c r="J194" s="77"/>
      <c r="K194" s="103"/>
      <c r="L194" s="104"/>
      <c r="M194" s="105"/>
      <c r="N194" s="105"/>
      <c r="O194" s="105"/>
      <c r="P194" s="105"/>
      <c r="Q194" s="106"/>
      <c r="R194" s="105"/>
      <c r="S194" s="112"/>
      <c r="T194" s="112"/>
      <c r="U194" s="113"/>
      <c r="V194" s="77"/>
      <c r="W194" s="77"/>
      <c r="X194" s="77"/>
      <c r="Y194" s="77"/>
      <c r="Z194" s="107"/>
      <c r="AA194" s="107"/>
      <c r="AB194" s="97"/>
      <c r="AC194" s="108"/>
      <c r="AD194" s="108"/>
      <c r="AE194" s="108"/>
      <c r="AF194" s="109"/>
      <c r="AG194" s="110"/>
      <c r="AH194" s="111"/>
      <c r="AI194" s="77">
        <f t="shared" si="7"/>
        <v>189</v>
      </c>
      <c r="AJ194" s="78">
        <f t="shared" si="8"/>
        <v>37.8</v>
      </c>
      <c r="AK194" s="79">
        <f t="shared" si="9"/>
        <v>37.8</v>
      </c>
      <c r="AL194" s="78"/>
      <c r="AM194" s="81"/>
      <c r="AN194" s="81"/>
      <c r="AO194" s="81"/>
      <c r="AP194" s="81"/>
      <c r="AQ194" s="81"/>
      <c r="AR194" s="81"/>
      <c r="AS194" s="81"/>
      <c r="AT194" s="81"/>
      <c r="AU194" s="81"/>
      <c r="AV194" s="81"/>
      <c r="AW194" s="81"/>
      <c r="AX194" s="81"/>
      <c r="AY194" s="81"/>
      <c r="AZ194" s="81"/>
      <c r="BA194" s="81"/>
      <c r="BB194" s="81"/>
      <c r="BC194" s="81"/>
      <c r="BD194" s="81"/>
      <c r="BE194" s="81"/>
      <c r="BF194" s="81"/>
      <c r="BG194" s="81"/>
      <c r="BH194" s="81"/>
      <c r="BI194" s="81"/>
      <c r="BJ194" s="81"/>
    </row>
    <row r="195">
      <c r="A195" s="90">
        <v>44856.0</v>
      </c>
      <c r="B195" s="70">
        <f t="shared" si="11"/>
        <v>5</v>
      </c>
      <c r="C195" s="70">
        <v>26.0</v>
      </c>
      <c r="D195" s="77"/>
      <c r="E195" s="102">
        <v>88.0</v>
      </c>
      <c r="F195" s="117"/>
      <c r="G195" s="102">
        <v>8.0</v>
      </c>
      <c r="H195" s="102">
        <v>54.0</v>
      </c>
      <c r="I195" s="102">
        <v>12.0</v>
      </c>
      <c r="J195" s="77"/>
      <c r="K195" s="103"/>
      <c r="L195" s="104"/>
      <c r="M195" s="105"/>
      <c r="N195" s="105"/>
      <c r="O195" s="105"/>
      <c r="P195" s="105"/>
      <c r="Q195" s="106"/>
      <c r="R195" s="105"/>
      <c r="S195" s="112"/>
      <c r="T195" s="112"/>
      <c r="U195" s="113"/>
      <c r="V195" s="77"/>
      <c r="W195" s="77"/>
      <c r="X195" s="77"/>
      <c r="Y195" s="77"/>
      <c r="Z195" s="107"/>
      <c r="AA195" s="107"/>
      <c r="AB195" s="97"/>
      <c r="AC195" s="108"/>
      <c r="AD195" s="108"/>
      <c r="AE195" s="108"/>
      <c r="AF195" s="109"/>
      <c r="AG195" s="110"/>
      <c r="AH195" s="111"/>
      <c r="AI195" s="77">
        <f t="shared" si="7"/>
        <v>188</v>
      </c>
      <c r="AJ195" s="78">
        <f t="shared" si="8"/>
        <v>37.6</v>
      </c>
      <c r="AK195" s="79">
        <f t="shared" si="9"/>
        <v>37.6</v>
      </c>
      <c r="AL195" s="78"/>
      <c r="AM195" s="81"/>
      <c r="AN195" s="81"/>
      <c r="AO195" s="81"/>
      <c r="AP195" s="81"/>
      <c r="AQ195" s="81"/>
      <c r="AR195" s="81"/>
      <c r="AS195" s="81"/>
      <c r="AT195" s="81"/>
      <c r="AU195" s="81"/>
      <c r="AV195" s="81"/>
      <c r="AW195" s="81"/>
      <c r="AX195" s="81"/>
      <c r="AY195" s="81"/>
      <c r="AZ195" s="81"/>
      <c r="BA195" s="81"/>
      <c r="BB195" s="81"/>
      <c r="BC195" s="81"/>
      <c r="BD195" s="81"/>
      <c r="BE195" s="81"/>
      <c r="BF195" s="81"/>
      <c r="BG195" s="81"/>
      <c r="BH195" s="81"/>
      <c r="BI195" s="81"/>
      <c r="BJ195" s="81"/>
    </row>
    <row r="196">
      <c r="A196" s="90">
        <v>44849.0</v>
      </c>
      <c r="B196" s="70">
        <f t="shared" si="11"/>
        <v>5</v>
      </c>
      <c r="C196" s="70">
        <v>21.0</v>
      </c>
      <c r="D196" s="77"/>
      <c r="E196" s="102">
        <v>103.0</v>
      </c>
      <c r="F196" s="117"/>
      <c r="G196" s="102">
        <v>6.0</v>
      </c>
      <c r="H196" s="102">
        <v>34.0</v>
      </c>
      <c r="I196" s="102">
        <v>34.0</v>
      </c>
      <c r="J196" s="77"/>
      <c r="K196" s="103"/>
      <c r="L196" s="104"/>
      <c r="M196" s="105"/>
      <c r="N196" s="105"/>
      <c r="O196" s="105"/>
      <c r="P196" s="105"/>
      <c r="Q196" s="106"/>
      <c r="R196" s="105"/>
      <c r="S196" s="112"/>
      <c r="T196" s="112"/>
      <c r="U196" s="113"/>
      <c r="V196" s="77"/>
      <c r="W196" s="77"/>
      <c r="X196" s="77"/>
      <c r="Y196" s="77"/>
      <c r="Z196" s="107"/>
      <c r="AA196" s="107"/>
      <c r="AB196" s="97"/>
      <c r="AC196" s="108"/>
      <c r="AD196" s="108"/>
      <c r="AE196" s="108"/>
      <c r="AF196" s="109"/>
      <c r="AG196" s="110"/>
      <c r="AH196" s="111"/>
      <c r="AI196" s="77">
        <f t="shared" si="7"/>
        <v>198</v>
      </c>
      <c r="AJ196" s="78">
        <f t="shared" si="8"/>
        <v>39.6</v>
      </c>
      <c r="AK196" s="79">
        <f t="shared" si="9"/>
        <v>39.6</v>
      </c>
      <c r="AL196" s="78"/>
      <c r="AM196" s="81"/>
      <c r="AN196" s="81"/>
      <c r="AO196" s="81"/>
      <c r="AP196" s="81"/>
      <c r="AQ196" s="81"/>
      <c r="AR196" s="81"/>
      <c r="AS196" s="81"/>
      <c r="AT196" s="81"/>
      <c r="AU196" s="81"/>
      <c r="AV196" s="81"/>
      <c r="AW196" s="81"/>
      <c r="AX196" s="81"/>
      <c r="AY196" s="81"/>
      <c r="AZ196" s="81"/>
      <c r="BA196" s="81"/>
      <c r="BB196" s="81"/>
      <c r="BC196" s="81"/>
      <c r="BD196" s="81"/>
      <c r="BE196" s="81"/>
      <c r="BF196" s="81"/>
      <c r="BG196" s="81"/>
      <c r="BH196" s="81"/>
      <c r="BI196" s="81"/>
      <c r="BJ196" s="81"/>
    </row>
    <row r="197">
      <c r="A197" s="90">
        <v>44842.0</v>
      </c>
      <c r="B197" s="70">
        <f t="shared" si="11"/>
        <v>4</v>
      </c>
      <c r="C197" s="70">
        <v>18.0</v>
      </c>
      <c r="D197" s="77"/>
      <c r="E197" s="102">
        <v>66.0</v>
      </c>
      <c r="F197" s="117"/>
      <c r="G197" s="102"/>
      <c r="H197" s="102">
        <v>43.0</v>
      </c>
      <c r="I197" s="102">
        <v>19.0</v>
      </c>
      <c r="J197" s="77"/>
      <c r="K197" s="103"/>
      <c r="L197" s="104"/>
      <c r="M197" s="105"/>
      <c r="N197" s="105"/>
      <c r="O197" s="105"/>
      <c r="P197" s="105"/>
      <c r="Q197" s="106"/>
      <c r="R197" s="105"/>
      <c r="S197" s="112"/>
      <c r="T197" s="112"/>
      <c r="U197" s="113"/>
      <c r="V197" s="77"/>
      <c r="W197" s="77"/>
      <c r="X197" s="77"/>
      <c r="Y197" s="77"/>
      <c r="Z197" s="107"/>
      <c r="AA197" s="107"/>
      <c r="AB197" s="97"/>
      <c r="AC197" s="108"/>
      <c r="AD197" s="108"/>
      <c r="AE197" s="108"/>
      <c r="AF197" s="109"/>
      <c r="AG197" s="110"/>
      <c r="AH197" s="111"/>
      <c r="AI197" s="77">
        <f t="shared" si="7"/>
        <v>146</v>
      </c>
      <c r="AJ197" s="78">
        <f t="shared" si="8"/>
        <v>36.5</v>
      </c>
      <c r="AK197" s="79">
        <f t="shared" si="9"/>
        <v>36.5</v>
      </c>
      <c r="AL197" s="78"/>
      <c r="AM197" s="81"/>
      <c r="AN197" s="81"/>
      <c r="AO197" s="81"/>
      <c r="AP197" s="81"/>
      <c r="AQ197" s="81"/>
      <c r="AR197" s="81"/>
      <c r="AS197" s="81"/>
      <c r="AT197" s="81"/>
      <c r="AU197" s="81"/>
      <c r="AV197" s="81"/>
      <c r="AW197" s="81"/>
      <c r="AX197" s="81"/>
      <c r="AY197" s="81"/>
      <c r="AZ197" s="81"/>
      <c r="BA197" s="81"/>
      <c r="BB197" s="81"/>
      <c r="BC197" s="81"/>
      <c r="BD197" s="81"/>
      <c r="BE197" s="81"/>
      <c r="BF197" s="81"/>
      <c r="BG197" s="81"/>
      <c r="BH197" s="81"/>
      <c r="BI197" s="81"/>
      <c r="BJ197" s="81"/>
    </row>
    <row r="198">
      <c r="A198" s="90">
        <v>44835.0</v>
      </c>
      <c r="B198" s="70">
        <f t="shared" si="11"/>
        <v>5</v>
      </c>
      <c r="C198" s="70">
        <v>19.0</v>
      </c>
      <c r="D198" s="77"/>
      <c r="E198" s="102">
        <v>86.0</v>
      </c>
      <c r="F198" s="117"/>
      <c r="G198" s="102">
        <v>8.0</v>
      </c>
      <c r="H198" s="102">
        <v>33.0</v>
      </c>
      <c r="I198" s="102">
        <v>20.0</v>
      </c>
      <c r="J198" s="77"/>
      <c r="K198" s="103"/>
      <c r="L198" s="104"/>
      <c r="M198" s="105"/>
      <c r="N198" s="105"/>
      <c r="O198" s="105"/>
      <c r="P198" s="105"/>
      <c r="Q198" s="106"/>
      <c r="R198" s="105"/>
      <c r="S198" s="112"/>
      <c r="T198" s="112"/>
      <c r="U198" s="113"/>
      <c r="V198" s="77"/>
      <c r="W198" s="77"/>
      <c r="X198" s="77"/>
      <c r="Y198" s="77"/>
      <c r="Z198" s="107"/>
      <c r="AA198" s="107"/>
      <c r="AB198" s="97"/>
      <c r="AC198" s="108"/>
      <c r="AD198" s="108"/>
      <c r="AE198" s="108"/>
      <c r="AF198" s="109"/>
      <c r="AG198" s="110"/>
      <c r="AH198" s="111"/>
      <c r="AI198" s="77">
        <f t="shared" si="7"/>
        <v>166</v>
      </c>
      <c r="AJ198" s="78">
        <f t="shared" si="8"/>
        <v>33.2</v>
      </c>
      <c r="AK198" s="79">
        <f t="shared" si="9"/>
        <v>33.2</v>
      </c>
      <c r="AL198" s="78"/>
      <c r="AM198" s="81"/>
      <c r="AN198" s="81"/>
      <c r="AO198" s="81"/>
      <c r="AP198" s="81"/>
      <c r="AQ198" s="81"/>
      <c r="AR198" s="81"/>
      <c r="AS198" s="81"/>
      <c r="AT198" s="81"/>
      <c r="AU198" s="81"/>
      <c r="AV198" s="81"/>
      <c r="AW198" s="81"/>
      <c r="AX198" s="81"/>
      <c r="AY198" s="81"/>
      <c r="AZ198" s="81"/>
      <c r="BA198" s="81"/>
      <c r="BB198" s="81"/>
      <c r="BC198" s="81"/>
      <c r="BD198" s="81"/>
      <c r="BE198" s="81"/>
      <c r="BF198" s="81"/>
      <c r="BG198" s="81"/>
      <c r="BH198" s="81"/>
      <c r="BI198" s="81"/>
      <c r="BJ198" s="81"/>
    </row>
    <row r="199">
      <c r="A199" s="90">
        <v>44828.0</v>
      </c>
      <c r="B199" s="70">
        <f t="shared" si="11"/>
        <v>5</v>
      </c>
      <c r="C199" s="70">
        <v>11.0</v>
      </c>
      <c r="D199" s="77"/>
      <c r="E199" s="102">
        <v>62.0</v>
      </c>
      <c r="F199" s="117"/>
      <c r="G199" s="102">
        <v>7.0</v>
      </c>
      <c r="H199" s="102">
        <v>10.0</v>
      </c>
      <c r="I199" s="102">
        <v>10.0</v>
      </c>
      <c r="J199" s="77"/>
      <c r="K199" s="103"/>
      <c r="L199" s="104"/>
      <c r="M199" s="105"/>
      <c r="N199" s="105"/>
      <c r="O199" s="105"/>
      <c r="P199" s="105"/>
      <c r="Q199" s="106"/>
      <c r="R199" s="105"/>
      <c r="S199" s="112"/>
      <c r="T199" s="112"/>
      <c r="U199" s="113"/>
      <c r="V199" s="77"/>
      <c r="W199" s="77"/>
      <c r="X199" s="77"/>
      <c r="Y199" s="77"/>
      <c r="Z199" s="107"/>
      <c r="AA199" s="107"/>
      <c r="AB199" s="97"/>
      <c r="AC199" s="108"/>
      <c r="AD199" s="108"/>
      <c r="AE199" s="108"/>
      <c r="AF199" s="109"/>
      <c r="AG199" s="110"/>
      <c r="AH199" s="111"/>
      <c r="AI199" s="77">
        <f t="shared" si="7"/>
        <v>100</v>
      </c>
      <c r="AJ199" s="78">
        <f t="shared" si="8"/>
        <v>20</v>
      </c>
      <c r="AK199" s="79">
        <f t="shared" si="9"/>
        <v>20</v>
      </c>
      <c r="AL199" s="78"/>
      <c r="AM199" s="81"/>
      <c r="AN199" s="81"/>
      <c r="AO199" s="81"/>
      <c r="AP199" s="81"/>
      <c r="AQ199" s="81"/>
      <c r="AR199" s="81"/>
      <c r="AS199" s="81"/>
      <c r="AT199" s="81"/>
      <c r="AU199" s="81"/>
      <c r="AV199" s="81"/>
      <c r="AW199" s="81"/>
      <c r="AX199" s="81"/>
      <c r="AY199" s="81"/>
      <c r="AZ199" s="81"/>
      <c r="BA199" s="81"/>
      <c r="BB199" s="81"/>
      <c r="BC199" s="81"/>
      <c r="BD199" s="81"/>
      <c r="BE199" s="81"/>
      <c r="BF199" s="81"/>
      <c r="BG199" s="81"/>
      <c r="BH199" s="81"/>
      <c r="BI199" s="81"/>
      <c r="BJ199" s="81"/>
    </row>
    <row r="200">
      <c r="A200" s="90">
        <v>44821.0</v>
      </c>
      <c r="B200" s="70">
        <f t="shared" si="11"/>
        <v>4</v>
      </c>
      <c r="C200" s="70">
        <v>21.0</v>
      </c>
      <c r="D200" s="77"/>
      <c r="E200" s="102">
        <v>374.0</v>
      </c>
      <c r="F200" s="117"/>
      <c r="G200" s="118"/>
      <c r="H200" s="102">
        <v>31.0</v>
      </c>
      <c r="I200" s="102">
        <v>21.0</v>
      </c>
      <c r="J200" s="77"/>
      <c r="K200" s="103"/>
      <c r="L200" s="104"/>
      <c r="M200" s="105"/>
      <c r="N200" s="105"/>
      <c r="O200" s="105"/>
      <c r="P200" s="105"/>
      <c r="Q200" s="106"/>
      <c r="R200" s="105"/>
      <c r="S200" s="112"/>
      <c r="T200" s="112"/>
      <c r="U200" s="113"/>
      <c r="V200" s="77"/>
      <c r="W200" s="77"/>
      <c r="X200" s="77"/>
      <c r="Y200" s="77"/>
      <c r="Z200" s="107"/>
      <c r="AA200" s="107"/>
      <c r="AB200" s="97"/>
      <c r="AC200" s="108"/>
      <c r="AD200" s="108"/>
      <c r="AE200" s="108"/>
      <c r="AF200" s="109"/>
      <c r="AG200" s="110"/>
      <c r="AH200" s="111"/>
      <c r="AI200" s="77">
        <f t="shared" si="7"/>
        <v>447</v>
      </c>
      <c r="AJ200" s="78">
        <f t="shared" si="8"/>
        <v>111.75</v>
      </c>
      <c r="AK200" s="79">
        <f t="shared" si="9"/>
        <v>111.75</v>
      </c>
      <c r="AL200" s="78"/>
      <c r="AM200" s="81"/>
      <c r="AN200" s="81"/>
      <c r="AO200" s="81"/>
      <c r="AP200" s="81"/>
      <c r="AQ200" s="81"/>
      <c r="AR200" s="81"/>
      <c r="AS200" s="81"/>
      <c r="AT200" s="81"/>
      <c r="AU200" s="81"/>
      <c r="AV200" s="81"/>
      <c r="AW200" s="81"/>
      <c r="AX200" s="81"/>
      <c r="AY200" s="81"/>
      <c r="AZ200" s="81"/>
      <c r="BA200" s="81"/>
      <c r="BB200" s="81"/>
      <c r="BC200" s="81"/>
      <c r="BD200" s="81"/>
      <c r="BE200" s="81"/>
      <c r="BF200" s="81"/>
      <c r="BG200" s="81"/>
      <c r="BH200" s="81"/>
      <c r="BI200" s="81"/>
      <c r="BJ200" s="81"/>
    </row>
    <row r="201">
      <c r="A201" s="90">
        <v>44814.0</v>
      </c>
      <c r="B201" s="70">
        <f t="shared" si="11"/>
        <v>5</v>
      </c>
      <c r="C201" s="70">
        <v>23.0</v>
      </c>
      <c r="D201" s="77"/>
      <c r="E201" s="102">
        <v>116.0</v>
      </c>
      <c r="F201" s="117"/>
      <c r="G201" s="102">
        <v>2.0</v>
      </c>
      <c r="H201" s="102">
        <v>41.0</v>
      </c>
      <c r="I201" s="102">
        <v>30.0</v>
      </c>
      <c r="J201" s="77"/>
      <c r="K201" s="103"/>
      <c r="L201" s="104"/>
      <c r="M201" s="105"/>
      <c r="N201" s="105"/>
      <c r="O201" s="105"/>
      <c r="P201" s="105"/>
      <c r="Q201" s="106"/>
      <c r="R201" s="105"/>
      <c r="S201" s="112"/>
      <c r="T201" s="112"/>
      <c r="U201" s="113"/>
      <c r="V201" s="77"/>
      <c r="W201" s="77"/>
      <c r="X201" s="77"/>
      <c r="Y201" s="77"/>
      <c r="Z201" s="107"/>
      <c r="AA201" s="107"/>
      <c r="AB201" s="97"/>
      <c r="AC201" s="108"/>
      <c r="AD201" s="108"/>
      <c r="AE201" s="108"/>
      <c r="AF201" s="109"/>
      <c r="AG201" s="110"/>
      <c r="AH201" s="111"/>
      <c r="AI201" s="77">
        <f t="shared" si="7"/>
        <v>212</v>
      </c>
      <c r="AJ201" s="78">
        <f t="shared" si="8"/>
        <v>42.4</v>
      </c>
      <c r="AK201" s="79">
        <f t="shared" si="9"/>
        <v>42.4</v>
      </c>
      <c r="AL201" s="78"/>
      <c r="AM201" s="81"/>
      <c r="AN201" s="81"/>
      <c r="AO201" s="81"/>
      <c r="AP201" s="81"/>
      <c r="AQ201" s="81"/>
      <c r="AR201" s="81"/>
      <c r="AS201" s="81"/>
      <c r="AT201" s="81"/>
      <c r="AU201" s="81"/>
      <c r="AV201" s="81"/>
      <c r="AW201" s="81"/>
      <c r="AX201" s="81"/>
      <c r="AY201" s="81"/>
      <c r="AZ201" s="81"/>
      <c r="BA201" s="81"/>
      <c r="BB201" s="81"/>
      <c r="BC201" s="81"/>
      <c r="BD201" s="81"/>
      <c r="BE201" s="81"/>
      <c r="BF201" s="81"/>
      <c r="BG201" s="81"/>
      <c r="BH201" s="81"/>
      <c r="BI201" s="81"/>
      <c r="BJ201" s="81"/>
    </row>
    <row r="202">
      <c r="A202" s="90">
        <v>44807.0</v>
      </c>
      <c r="B202" s="70">
        <f t="shared" si="11"/>
        <v>5</v>
      </c>
      <c r="C202" s="70">
        <v>28.0</v>
      </c>
      <c r="D202" s="77"/>
      <c r="E202" s="102">
        <v>99.0</v>
      </c>
      <c r="F202" s="117"/>
      <c r="G202" s="102">
        <v>4.0</v>
      </c>
      <c r="H202" s="102">
        <v>50.0</v>
      </c>
      <c r="I202" s="102">
        <v>24.0</v>
      </c>
      <c r="J202" s="77"/>
      <c r="K202" s="103"/>
      <c r="L202" s="104"/>
      <c r="M202" s="105"/>
      <c r="N202" s="105"/>
      <c r="O202" s="105"/>
      <c r="P202" s="105"/>
      <c r="Q202" s="106"/>
      <c r="R202" s="105"/>
      <c r="S202" s="112"/>
      <c r="T202" s="112"/>
      <c r="U202" s="113"/>
      <c r="V202" s="77"/>
      <c r="W202" s="77"/>
      <c r="X202" s="77"/>
      <c r="Y202" s="77"/>
      <c r="Z202" s="107"/>
      <c r="AA202" s="107"/>
      <c r="AB202" s="97"/>
      <c r="AC202" s="108"/>
      <c r="AD202" s="108"/>
      <c r="AE202" s="108"/>
      <c r="AF202" s="109"/>
      <c r="AG202" s="110"/>
      <c r="AH202" s="111"/>
      <c r="AI202" s="77">
        <f t="shared" si="7"/>
        <v>205</v>
      </c>
      <c r="AJ202" s="78">
        <f t="shared" si="8"/>
        <v>41</v>
      </c>
      <c r="AK202" s="79">
        <f t="shared" si="9"/>
        <v>41</v>
      </c>
      <c r="AL202" s="78"/>
      <c r="AM202" s="81"/>
      <c r="AN202" s="81"/>
      <c r="AO202" s="81"/>
      <c r="AP202" s="81"/>
      <c r="AQ202" s="81"/>
      <c r="AR202" s="81"/>
      <c r="AS202" s="81"/>
      <c r="AT202" s="81"/>
      <c r="AU202" s="81"/>
      <c r="AV202" s="81"/>
      <c r="AW202" s="81"/>
      <c r="AX202" s="81"/>
      <c r="AY202" s="81"/>
      <c r="AZ202" s="81"/>
      <c r="BA202" s="81"/>
      <c r="BB202" s="81"/>
      <c r="BC202" s="81"/>
      <c r="BD202" s="81"/>
      <c r="BE202" s="81"/>
      <c r="BF202" s="81"/>
      <c r="BG202" s="81"/>
      <c r="BH202" s="81"/>
      <c r="BI202" s="81"/>
      <c r="BJ202" s="81"/>
    </row>
    <row r="203">
      <c r="A203" s="90">
        <v>44800.0</v>
      </c>
      <c r="B203" s="70">
        <f t="shared" si="11"/>
        <v>4</v>
      </c>
      <c r="C203" s="70">
        <v>19.0</v>
      </c>
      <c r="D203" s="77"/>
      <c r="E203" s="102">
        <v>85.0</v>
      </c>
      <c r="F203" s="117"/>
      <c r="G203" s="118"/>
      <c r="H203" s="102">
        <v>78.0</v>
      </c>
      <c r="I203" s="102">
        <v>19.0</v>
      </c>
      <c r="J203" s="77"/>
      <c r="K203" s="103"/>
      <c r="L203" s="104"/>
      <c r="M203" s="105"/>
      <c r="N203" s="105"/>
      <c r="O203" s="105"/>
      <c r="P203" s="105"/>
      <c r="Q203" s="106"/>
      <c r="R203" s="105"/>
      <c r="S203" s="112"/>
      <c r="T203" s="112"/>
      <c r="U203" s="113"/>
      <c r="V203" s="77"/>
      <c r="W203" s="77"/>
      <c r="X203" s="77"/>
      <c r="Y203" s="77"/>
      <c r="Z203" s="107"/>
      <c r="AA203" s="107"/>
      <c r="AB203" s="97"/>
      <c r="AC203" s="108"/>
      <c r="AD203" s="108"/>
      <c r="AE203" s="108"/>
      <c r="AF203" s="109"/>
      <c r="AG203" s="110"/>
      <c r="AH203" s="111"/>
      <c r="AI203" s="77">
        <f t="shared" si="7"/>
        <v>201</v>
      </c>
      <c r="AJ203" s="78">
        <f t="shared" si="8"/>
        <v>50.25</v>
      </c>
      <c r="AK203" s="79">
        <f t="shared" si="9"/>
        <v>50.25</v>
      </c>
      <c r="AL203" s="78"/>
      <c r="AM203" s="81"/>
      <c r="AN203" s="81"/>
      <c r="AO203" s="81"/>
      <c r="AP203" s="81"/>
      <c r="AQ203" s="81"/>
      <c r="AR203" s="81"/>
      <c r="AS203" s="81"/>
      <c r="AT203" s="81"/>
      <c r="AU203" s="81"/>
      <c r="AV203" s="81"/>
      <c r="AW203" s="81"/>
      <c r="AX203" s="81"/>
      <c r="AY203" s="81"/>
      <c r="AZ203" s="81"/>
      <c r="BA203" s="81"/>
      <c r="BB203" s="81"/>
      <c r="BC203" s="81"/>
      <c r="BD203" s="81"/>
      <c r="BE203" s="81"/>
      <c r="BF203" s="81"/>
      <c r="BG203" s="81"/>
      <c r="BH203" s="81"/>
      <c r="BI203" s="81"/>
      <c r="BJ203" s="81"/>
    </row>
    <row r="204">
      <c r="A204" s="90">
        <v>44793.0</v>
      </c>
      <c r="B204" s="70">
        <f t="shared" si="11"/>
        <v>5</v>
      </c>
      <c r="C204" s="70">
        <v>15.0</v>
      </c>
      <c r="D204" s="77"/>
      <c r="E204" s="102">
        <v>86.0</v>
      </c>
      <c r="F204" s="117"/>
      <c r="G204" s="102">
        <v>3.0</v>
      </c>
      <c r="H204" s="102">
        <v>45.0</v>
      </c>
      <c r="I204" s="102">
        <v>28.0</v>
      </c>
      <c r="J204" s="77"/>
      <c r="K204" s="103"/>
      <c r="L204" s="104"/>
      <c r="M204" s="105"/>
      <c r="N204" s="105"/>
      <c r="O204" s="105"/>
      <c r="P204" s="105"/>
      <c r="Q204" s="106"/>
      <c r="R204" s="105"/>
      <c r="S204" s="112"/>
      <c r="T204" s="112"/>
      <c r="U204" s="113"/>
      <c r="V204" s="77"/>
      <c r="W204" s="77"/>
      <c r="X204" s="77"/>
      <c r="Y204" s="77"/>
      <c r="Z204" s="107"/>
      <c r="AA204" s="107"/>
      <c r="AB204" s="97"/>
      <c r="AC204" s="108"/>
      <c r="AD204" s="108"/>
      <c r="AE204" s="108"/>
      <c r="AF204" s="109"/>
      <c r="AG204" s="110"/>
      <c r="AH204" s="111"/>
      <c r="AI204" s="77">
        <f t="shared" si="7"/>
        <v>177</v>
      </c>
      <c r="AJ204" s="78">
        <f t="shared" si="8"/>
        <v>35.4</v>
      </c>
      <c r="AK204" s="79">
        <f t="shared" si="9"/>
        <v>35.4</v>
      </c>
      <c r="AL204" s="78"/>
      <c r="AM204" s="81"/>
      <c r="AN204" s="81"/>
      <c r="AO204" s="81"/>
      <c r="AP204" s="81"/>
      <c r="AQ204" s="81"/>
      <c r="AR204" s="81"/>
      <c r="AS204" s="81"/>
      <c r="AT204" s="81"/>
      <c r="AU204" s="81"/>
      <c r="AV204" s="81"/>
      <c r="AW204" s="81"/>
      <c r="AX204" s="81"/>
      <c r="AY204" s="81"/>
      <c r="AZ204" s="81"/>
      <c r="BA204" s="81"/>
      <c r="BB204" s="81"/>
      <c r="BC204" s="81"/>
      <c r="BD204" s="81"/>
      <c r="BE204" s="81"/>
      <c r="BF204" s="81"/>
      <c r="BG204" s="81"/>
      <c r="BH204" s="81"/>
      <c r="BI204" s="81"/>
      <c r="BJ204" s="81"/>
    </row>
    <row r="205">
      <c r="A205" s="90">
        <v>44786.0</v>
      </c>
      <c r="B205" s="70">
        <f t="shared" si="11"/>
        <v>5</v>
      </c>
      <c r="C205" s="70">
        <v>12.0</v>
      </c>
      <c r="D205" s="77"/>
      <c r="E205" s="102">
        <v>97.0</v>
      </c>
      <c r="F205" s="117"/>
      <c r="G205" s="102">
        <v>3.0</v>
      </c>
      <c r="H205" s="102">
        <v>40.0</v>
      </c>
      <c r="I205" s="102">
        <v>22.0</v>
      </c>
      <c r="J205" s="77"/>
      <c r="K205" s="103"/>
      <c r="L205" s="104"/>
      <c r="M205" s="105"/>
      <c r="N205" s="105"/>
      <c r="O205" s="105"/>
      <c r="P205" s="105"/>
      <c r="Q205" s="106"/>
      <c r="R205" s="105"/>
      <c r="S205" s="112"/>
      <c r="T205" s="112"/>
      <c r="U205" s="113"/>
      <c r="V205" s="77"/>
      <c r="W205" s="77"/>
      <c r="X205" s="77"/>
      <c r="Y205" s="77"/>
      <c r="Z205" s="107"/>
      <c r="AA205" s="107"/>
      <c r="AB205" s="97"/>
      <c r="AC205" s="108"/>
      <c r="AD205" s="108"/>
      <c r="AE205" s="108"/>
      <c r="AF205" s="109"/>
      <c r="AG205" s="110"/>
      <c r="AH205" s="111"/>
      <c r="AI205" s="77">
        <f t="shared" si="7"/>
        <v>174</v>
      </c>
      <c r="AJ205" s="78">
        <f t="shared" si="8"/>
        <v>34.8</v>
      </c>
      <c r="AK205" s="79">
        <f t="shared" si="9"/>
        <v>34.8</v>
      </c>
      <c r="AL205" s="78"/>
      <c r="AM205" s="81"/>
      <c r="AN205" s="81"/>
      <c r="AO205" s="81"/>
      <c r="AP205" s="81"/>
      <c r="AQ205" s="81"/>
      <c r="AR205" s="81"/>
      <c r="AS205" s="81"/>
      <c r="AT205" s="81"/>
      <c r="AU205" s="81"/>
      <c r="AV205" s="81"/>
      <c r="AW205" s="81"/>
      <c r="AX205" s="81"/>
      <c r="AY205" s="81"/>
      <c r="AZ205" s="81"/>
      <c r="BA205" s="81"/>
      <c r="BB205" s="81"/>
      <c r="BC205" s="81"/>
      <c r="BD205" s="81"/>
      <c r="BE205" s="81"/>
      <c r="BF205" s="81"/>
      <c r="BG205" s="81"/>
      <c r="BH205" s="81"/>
      <c r="BI205" s="81"/>
      <c r="BJ205" s="81"/>
    </row>
    <row r="206">
      <c r="A206" s="90">
        <v>44779.0</v>
      </c>
      <c r="B206" s="70">
        <f t="shared" si="11"/>
        <v>5</v>
      </c>
      <c r="C206" s="70">
        <v>25.0</v>
      </c>
      <c r="D206" s="77"/>
      <c r="E206" s="102">
        <v>129.0</v>
      </c>
      <c r="F206" s="117"/>
      <c r="G206" s="118">
        <v>4.0</v>
      </c>
      <c r="H206" s="102">
        <v>37.0</v>
      </c>
      <c r="I206" s="102">
        <v>20.0</v>
      </c>
      <c r="J206" s="77"/>
      <c r="K206" s="103"/>
      <c r="L206" s="104"/>
      <c r="M206" s="105"/>
      <c r="N206" s="105"/>
      <c r="O206" s="105"/>
      <c r="P206" s="105"/>
      <c r="Q206" s="106"/>
      <c r="R206" s="105"/>
      <c r="S206" s="112"/>
      <c r="T206" s="112"/>
      <c r="U206" s="113"/>
      <c r="V206" s="77"/>
      <c r="W206" s="77"/>
      <c r="X206" s="77"/>
      <c r="Y206" s="77"/>
      <c r="Z206" s="107"/>
      <c r="AA206" s="107"/>
      <c r="AB206" s="97"/>
      <c r="AC206" s="108"/>
      <c r="AD206" s="108"/>
      <c r="AE206" s="108"/>
      <c r="AF206" s="109"/>
      <c r="AG206" s="110"/>
      <c r="AH206" s="111"/>
      <c r="AI206" s="77">
        <f t="shared" si="7"/>
        <v>215</v>
      </c>
      <c r="AJ206" s="78">
        <f t="shared" si="8"/>
        <v>43</v>
      </c>
      <c r="AK206" s="79">
        <f t="shared" si="9"/>
        <v>43</v>
      </c>
      <c r="AL206" s="78"/>
      <c r="AM206" s="81"/>
      <c r="AN206" s="81"/>
      <c r="AO206" s="81"/>
      <c r="AP206" s="81"/>
      <c r="AQ206" s="81"/>
      <c r="AR206" s="81"/>
      <c r="AS206" s="81"/>
      <c r="AT206" s="81"/>
      <c r="AU206" s="81"/>
      <c r="AV206" s="81"/>
      <c r="AW206" s="81"/>
      <c r="AX206" s="81"/>
      <c r="AY206" s="81"/>
      <c r="AZ206" s="81"/>
      <c r="BA206" s="81"/>
      <c r="BB206" s="81"/>
      <c r="BC206" s="81"/>
      <c r="BD206" s="81"/>
      <c r="BE206" s="81"/>
      <c r="BF206" s="81"/>
      <c r="BG206" s="81"/>
      <c r="BH206" s="81"/>
      <c r="BI206" s="81"/>
      <c r="BJ206" s="81"/>
    </row>
    <row r="207">
      <c r="A207" s="90">
        <v>44772.0</v>
      </c>
      <c r="B207" s="70">
        <f t="shared" si="11"/>
        <v>5</v>
      </c>
      <c r="C207" s="70">
        <v>26.0</v>
      </c>
      <c r="D207" s="77"/>
      <c r="E207" s="102">
        <v>92.0</v>
      </c>
      <c r="F207" s="117"/>
      <c r="G207" s="102">
        <v>3.0</v>
      </c>
      <c r="H207" s="102">
        <v>49.0</v>
      </c>
      <c r="I207" s="102">
        <v>26.0</v>
      </c>
      <c r="J207" s="77"/>
      <c r="K207" s="103"/>
      <c r="L207" s="104"/>
      <c r="M207" s="105"/>
      <c r="N207" s="105"/>
      <c r="O207" s="105"/>
      <c r="P207" s="105"/>
      <c r="Q207" s="106"/>
      <c r="R207" s="105"/>
      <c r="S207" s="112"/>
      <c r="T207" s="112"/>
      <c r="U207" s="113"/>
      <c r="V207" s="77"/>
      <c r="W207" s="77"/>
      <c r="X207" s="77"/>
      <c r="Y207" s="77"/>
      <c r="Z207" s="107"/>
      <c r="AA207" s="107"/>
      <c r="AB207" s="97"/>
      <c r="AC207" s="108"/>
      <c r="AD207" s="108"/>
      <c r="AE207" s="108"/>
      <c r="AF207" s="109"/>
      <c r="AG207" s="110"/>
      <c r="AH207" s="111"/>
      <c r="AI207" s="77">
        <f t="shared" si="7"/>
        <v>196</v>
      </c>
      <c r="AJ207" s="78">
        <f t="shared" si="8"/>
        <v>39.2</v>
      </c>
      <c r="AK207" s="79">
        <f t="shared" si="9"/>
        <v>39.2</v>
      </c>
      <c r="AL207" s="78"/>
      <c r="AM207" s="81"/>
      <c r="AN207" s="81"/>
      <c r="AO207" s="81"/>
      <c r="AP207" s="81"/>
      <c r="AQ207" s="81"/>
      <c r="AR207" s="81"/>
      <c r="AS207" s="81"/>
      <c r="AT207" s="81"/>
      <c r="AU207" s="81"/>
      <c r="AV207" s="81"/>
      <c r="AW207" s="81"/>
      <c r="AX207" s="81"/>
      <c r="AY207" s="81"/>
      <c r="AZ207" s="81"/>
      <c r="BA207" s="81"/>
      <c r="BB207" s="81"/>
      <c r="BC207" s="81"/>
      <c r="BD207" s="81"/>
      <c r="BE207" s="81"/>
      <c r="BF207" s="81"/>
      <c r="BG207" s="81"/>
      <c r="BH207" s="81"/>
      <c r="BI207" s="81"/>
      <c r="BJ207" s="81"/>
    </row>
    <row r="208">
      <c r="A208" s="90">
        <v>44765.0</v>
      </c>
      <c r="B208" s="70">
        <f t="shared" si="11"/>
        <v>4</v>
      </c>
      <c r="C208" s="70">
        <v>9.0</v>
      </c>
      <c r="D208" s="77"/>
      <c r="E208" s="102">
        <v>70.0</v>
      </c>
      <c r="F208" s="117"/>
      <c r="G208" s="102">
        <v>2.0</v>
      </c>
      <c r="H208" s="114"/>
      <c r="I208" s="102">
        <v>17.0</v>
      </c>
      <c r="J208" s="77"/>
      <c r="K208" s="103"/>
      <c r="L208" s="104"/>
      <c r="M208" s="105"/>
      <c r="N208" s="105"/>
      <c r="O208" s="105"/>
      <c r="P208" s="105"/>
      <c r="Q208" s="106"/>
      <c r="R208" s="105"/>
      <c r="S208" s="112"/>
      <c r="T208" s="112"/>
      <c r="U208" s="113"/>
      <c r="V208" s="77"/>
      <c r="W208" s="77"/>
      <c r="X208" s="77"/>
      <c r="Y208" s="77"/>
      <c r="Z208" s="107"/>
      <c r="AA208" s="107"/>
      <c r="AB208" s="97"/>
      <c r="AC208" s="108"/>
      <c r="AD208" s="108"/>
      <c r="AE208" s="108"/>
      <c r="AF208" s="109"/>
      <c r="AG208" s="110"/>
      <c r="AH208" s="111"/>
      <c r="AI208" s="77">
        <f t="shared" si="7"/>
        <v>98</v>
      </c>
      <c r="AJ208" s="78">
        <f t="shared" si="8"/>
        <v>24.5</v>
      </c>
      <c r="AK208" s="79">
        <f t="shared" si="9"/>
        <v>24.5</v>
      </c>
      <c r="AL208" s="78"/>
      <c r="AM208" s="81"/>
      <c r="AN208" s="81"/>
      <c r="AO208" s="81"/>
      <c r="AP208" s="81"/>
      <c r="AQ208" s="81"/>
      <c r="AR208" s="81"/>
      <c r="AS208" s="81"/>
      <c r="AT208" s="81"/>
      <c r="AU208" s="81"/>
      <c r="AV208" s="81"/>
      <c r="AW208" s="81"/>
      <c r="AX208" s="81"/>
      <c r="AY208" s="81"/>
      <c r="AZ208" s="81"/>
      <c r="BA208" s="81"/>
      <c r="BB208" s="81"/>
      <c r="BC208" s="81"/>
      <c r="BD208" s="81"/>
      <c r="BE208" s="81"/>
      <c r="BF208" s="81"/>
      <c r="BG208" s="81"/>
      <c r="BH208" s="81"/>
      <c r="BI208" s="81"/>
      <c r="BJ208" s="81"/>
    </row>
    <row r="209">
      <c r="A209" s="90">
        <v>44758.0</v>
      </c>
      <c r="B209" s="70">
        <f t="shared" si="11"/>
        <v>3</v>
      </c>
      <c r="C209" s="70">
        <v>13.0</v>
      </c>
      <c r="D209" s="77"/>
      <c r="E209" s="102">
        <v>94.0</v>
      </c>
      <c r="F209" s="117"/>
      <c r="G209" s="102"/>
      <c r="H209" s="115"/>
      <c r="I209" s="102">
        <v>17.0</v>
      </c>
      <c r="J209" s="77"/>
      <c r="K209" s="103"/>
      <c r="L209" s="104"/>
      <c r="M209" s="105"/>
      <c r="N209" s="105"/>
      <c r="O209" s="105"/>
      <c r="P209" s="105"/>
      <c r="Q209" s="106"/>
      <c r="R209" s="105"/>
      <c r="S209" s="112"/>
      <c r="T209" s="112"/>
      <c r="U209" s="113"/>
      <c r="V209" s="77"/>
      <c r="W209" s="77"/>
      <c r="X209" s="77"/>
      <c r="Y209" s="77"/>
      <c r="Z209" s="107"/>
      <c r="AA209" s="107"/>
      <c r="AB209" s="97"/>
      <c r="AC209" s="108"/>
      <c r="AD209" s="108"/>
      <c r="AE209" s="108"/>
      <c r="AF209" s="109"/>
      <c r="AG209" s="110"/>
      <c r="AH209" s="111"/>
      <c r="AI209" s="77">
        <f t="shared" si="7"/>
        <v>124</v>
      </c>
      <c r="AJ209" s="78">
        <f t="shared" si="8"/>
        <v>41.33333333</v>
      </c>
      <c r="AK209" s="79">
        <f t="shared" si="9"/>
        <v>41.33333333</v>
      </c>
      <c r="AL209" s="78"/>
      <c r="AM209" s="81"/>
      <c r="AN209" s="81"/>
      <c r="AO209" s="81"/>
      <c r="AP209" s="81"/>
      <c r="AQ209" s="81"/>
      <c r="AR209" s="81"/>
      <c r="AS209" s="81"/>
      <c r="AT209" s="81"/>
      <c r="AU209" s="81"/>
      <c r="AV209" s="81"/>
      <c r="AW209" s="81"/>
      <c r="AX209" s="81"/>
      <c r="AY209" s="81"/>
      <c r="AZ209" s="81"/>
      <c r="BA209" s="81"/>
      <c r="BB209" s="81"/>
      <c r="BC209" s="81"/>
      <c r="BD209" s="81"/>
      <c r="BE209" s="81"/>
      <c r="BF209" s="81"/>
      <c r="BG209" s="81"/>
      <c r="BH209" s="81"/>
      <c r="BI209" s="81"/>
      <c r="BJ209" s="81"/>
    </row>
    <row r="210">
      <c r="A210" s="90">
        <v>44751.0</v>
      </c>
      <c r="B210" s="70">
        <f t="shared" si="11"/>
        <v>3</v>
      </c>
      <c r="C210" s="70">
        <v>18.0</v>
      </c>
      <c r="D210" s="77"/>
      <c r="E210" s="102">
        <v>83.0</v>
      </c>
      <c r="F210" s="117"/>
      <c r="G210" s="102"/>
      <c r="H210" s="115"/>
      <c r="I210" s="102">
        <v>12.0</v>
      </c>
      <c r="J210" s="77"/>
      <c r="K210" s="103"/>
      <c r="L210" s="104"/>
      <c r="M210" s="105"/>
      <c r="N210" s="105"/>
      <c r="O210" s="105"/>
      <c r="P210" s="105"/>
      <c r="Q210" s="106"/>
      <c r="R210" s="105"/>
      <c r="S210" s="112"/>
      <c r="T210" s="112"/>
      <c r="U210" s="113"/>
      <c r="V210" s="77"/>
      <c r="W210" s="77"/>
      <c r="X210" s="77"/>
      <c r="Y210" s="77"/>
      <c r="Z210" s="107"/>
      <c r="AA210" s="107"/>
      <c r="AB210" s="97"/>
      <c r="AC210" s="108"/>
      <c r="AD210" s="108"/>
      <c r="AE210" s="108"/>
      <c r="AF210" s="109"/>
      <c r="AG210" s="110"/>
      <c r="AH210" s="111"/>
      <c r="AI210" s="77">
        <f t="shared" si="7"/>
        <v>113</v>
      </c>
      <c r="AJ210" s="78">
        <f t="shared" si="8"/>
        <v>37.66666667</v>
      </c>
      <c r="AK210" s="79">
        <f t="shared" si="9"/>
        <v>37.66666667</v>
      </c>
      <c r="AL210" s="78"/>
      <c r="AM210" s="81"/>
      <c r="AN210" s="81"/>
      <c r="AO210" s="81"/>
      <c r="AP210" s="81"/>
      <c r="AQ210" s="81"/>
      <c r="AR210" s="81"/>
      <c r="AS210" s="81"/>
      <c r="AT210" s="81"/>
      <c r="AU210" s="81"/>
      <c r="AV210" s="81"/>
      <c r="AW210" s="81"/>
      <c r="AX210" s="81"/>
      <c r="AY210" s="81"/>
      <c r="AZ210" s="81"/>
      <c r="BA210" s="81"/>
      <c r="BB210" s="81"/>
      <c r="BC210" s="81"/>
      <c r="BD210" s="81"/>
      <c r="BE210" s="81"/>
      <c r="BF210" s="81"/>
      <c r="BG210" s="81"/>
      <c r="BH210" s="81"/>
      <c r="BI210" s="81"/>
      <c r="BJ210" s="81"/>
    </row>
    <row r="211">
      <c r="A211" s="90">
        <v>44744.0</v>
      </c>
      <c r="B211" s="70">
        <f t="shared" si="11"/>
        <v>4</v>
      </c>
      <c r="C211" s="70">
        <v>17.0</v>
      </c>
      <c r="D211" s="77"/>
      <c r="E211" s="102">
        <v>63.0</v>
      </c>
      <c r="F211" s="117"/>
      <c r="G211" s="102">
        <v>4.0</v>
      </c>
      <c r="H211" s="114"/>
      <c r="I211" s="102">
        <v>46.0</v>
      </c>
      <c r="J211" s="77"/>
      <c r="K211" s="103"/>
      <c r="L211" s="104"/>
      <c r="M211" s="105"/>
      <c r="N211" s="105"/>
      <c r="O211" s="105"/>
      <c r="P211" s="105"/>
      <c r="Q211" s="106"/>
      <c r="R211" s="105"/>
      <c r="S211" s="112"/>
      <c r="T211" s="112"/>
      <c r="U211" s="113"/>
      <c r="V211" s="77"/>
      <c r="W211" s="77"/>
      <c r="X211" s="77"/>
      <c r="Y211" s="77"/>
      <c r="Z211" s="107"/>
      <c r="AA211" s="107"/>
      <c r="AB211" s="97"/>
      <c r="AC211" s="108"/>
      <c r="AD211" s="108"/>
      <c r="AE211" s="108"/>
      <c r="AF211" s="109"/>
      <c r="AG211" s="110"/>
      <c r="AH211" s="111"/>
      <c r="AI211" s="77">
        <f t="shared" si="7"/>
        <v>130</v>
      </c>
      <c r="AJ211" s="78">
        <f t="shared" si="8"/>
        <v>32.5</v>
      </c>
      <c r="AK211" s="79">
        <f t="shared" si="9"/>
        <v>32.5</v>
      </c>
      <c r="AL211" s="78"/>
      <c r="AM211" s="81"/>
      <c r="AN211" s="81"/>
      <c r="AO211" s="81"/>
      <c r="AP211" s="81"/>
      <c r="AQ211" s="81"/>
      <c r="AR211" s="81"/>
      <c r="AS211" s="81"/>
      <c r="AT211" s="81"/>
      <c r="AU211" s="81"/>
      <c r="AV211" s="81"/>
      <c r="AW211" s="81"/>
      <c r="AX211" s="81"/>
      <c r="AY211" s="81"/>
      <c r="AZ211" s="81"/>
      <c r="BA211" s="81"/>
      <c r="BB211" s="81"/>
      <c r="BC211" s="81"/>
      <c r="BD211" s="81"/>
      <c r="BE211" s="81"/>
      <c r="BF211" s="81"/>
      <c r="BG211" s="81"/>
      <c r="BH211" s="81"/>
      <c r="BI211" s="81"/>
      <c r="BJ211" s="81"/>
    </row>
    <row r="212">
      <c r="A212" s="90">
        <v>44737.0</v>
      </c>
      <c r="B212" s="70">
        <f t="shared" si="11"/>
        <v>3</v>
      </c>
      <c r="C212" s="70">
        <v>18.0</v>
      </c>
      <c r="D212" s="77"/>
      <c r="E212" s="102">
        <v>101.0</v>
      </c>
      <c r="F212" s="117"/>
      <c r="G212" s="118">
        <v>3.0</v>
      </c>
      <c r="H212" s="115"/>
      <c r="I212" s="119"/>
      <c r="J212" s="77"/>
      <c r="K212" s="103"/>
      <c r="L212" s="104"/>
      <c r="M212" s="105"/>
      <c r="N212" s="105"/>
      <c r="O212" s="105"/>
      <c r="P212" s="105"/>
      <c r="Q212" s="106"/>
      <c r="R212" s="105"/>
      <c r="S212" s="112"/>
      <c r="T212" s="112"/>
      <c r="U212" s="113"/>
      <c r="V212" s="77"/>
      <c r="W212" s="77"/>
      <c r="X212" s="77"/>
      <c r="Y212" s="77"/>
      <c r="Z212" s="107"/>
      <c r="AA212" s="107"/>
      <c r="AB212" s="97"/>
      <c r="AC212" s="108"/>
      <c r="AD212" s="108"/>
      <c r="AE212" s="108"/>
      <c r="AF212" s="109"/>
      <c r="AG212" s="110"/>
      <c r="AH212" s="111"/>
      <c r="AI212" s="77">
        <f t="shared" si="7"/>
        <v>122</v>
      </c>
      <c r="AJ212" s="78">
        <f t="shared" si="8"/>
        <v>40.66666667</v>
      </c>
      <c r="AK212" s="79">
        <f t="shared" si="9"/>
        <v>40.66666667</v>
      </c>
      <c r="AL212" s="78"/>
      <c r="AM212" s="81"/>
      <c r="AN212" s="81"/>
      <c r="AO212" s="81"/>
      <c r="AP212" s="81"/>
      <c r="AQ212" s="81"/>
      <c r="AR212" s="81"/>
      <c r="AS212" s="81"/>
      <c r="AT212" s="81"/>
      <c r="AU212" s="81"/>
      <c r="AV212" s="81"/>
      <c r="AW212" s="81"/>
      <c r="AX212" s="81"/>
      <c r="AY212" s="81"/>
      <c r="AZ212" s="81"/>
      <c r="BA212" s="81"/>
      <c r="BB212" s="81"/>
      <c r="BC212" s="81"/>
      <c r="BD212" s="81"/>
      <c r="BE212" s="81"/>
      <c r="BF212" s="81"/>
      <c r="BG212" s="81"/>
      <c r="BH212" s="81"/>
      <c r="BI212" s="81"/>
      <c r="BJ212" s="81"/>
    </row>
    <row r="213">
      <c r="A213" s="90">
        <v>44730.0</v>
      </c>
      <c r="B213" s="70">
        <f t="shared" si="11"/>
        <v>3</v>
      </c>
      <c r="C213" s="70">
        <v>20.0</v>
      </c>
      <c r="D213" s="77"/>
      <c r="E213" s="102">
        <v>161.0</v>
      </c>
      <c r="F213" s="117"/>
      <c r="G213" s="118">
        <v>6.0</v>
      </c>
      <c r="H213" s="114"/>
      <c r="I213" s="119"/>
      <c r="J213" s="77"/>
      <c r="K213" s="103"/>
      <c r="L213" s="104"/>
      <c r="M213" s="105"/>
      <c r="N213" s="105"/>
      <c r="O213" s="105"/>
      <c r="P213" s="105"/>
      <c r="Q213" s="106"/>
      <c r="R213" s="105"/>
      <c r="S213" s="112"/>
      <c r="T213" s="112"/>
      <c r="U213" s="113"/>
      <c r="V213" s="77"/>
      <c r="W213" s="77"/>
      <c r="X213" s="77"/>
      <c r="Y213" s="77"/>
      <c r="Z213" s="107"/>
      <c r="AA213" s="107"/>
      <c r="AB213" s="97"/>
      <c r="AC213" s="108"/>
      <c r="AD213" s="108"/>
      <c r="AE213" s="108"/>
      <c r="AF213" s="109"/>
      <c r="AG213" s="110"/>
      <c r="AH213" s="111"/>
      <c r="AI213" s="77">
        <f t="shared" si="7"/>
        <v>187</v>
      </c>
      <c r="AJ213" s="78">
        <f t="shared" si="8"/>
        <v>62.33333333</v>
      </c>
      <c r="AK213" s="79">
        <f t="shared" si="9"/>
        <v>62.33333333</v>
      </c>
      <c r="AL213" s="78"/>
      <c r="AM213" s="81"/>
      <c r="AN213" s="81"/>
      <c r="AO213" s="81"/>
      <c r="AP213" s="81"/>
      <c r="AQ213" s="81"/>
      <c r="AR213" s="81"/>
      <c r="AS213" s="81"/>
      <c r="AT213" s="81"/>
      <c r="AU213" s="81"/>
      <c r="AV213" s="81"/>
      <c r="AW213" s="81"/>
      <c r="AX213" s="81"/>
      <c r="AY213" s="81"/>
      <c r="AZ213" s="81"/>
      <c r="BA213" s="81"/>
      <c r="BB213" s="81"/>
      <c r="BC213" s="81"/>
      <c r="BD213" s="81"/>
      <c r="BE213" s="81"/>
      <c r="BF213" s="81"/>
      <c r="BG213" s="81"/>
      <c r="BH213" s="81"/>
      <c r="BI213" s="81"/>
      <c r="BJ213" s="81"/>
    </row>
    <row r="214">
      <c r="A214" s="90">
        <v>44723.0</v>
      </c>
      <c r="B214" s="70">
        <f t="shared" si="11"/>
        <v>3</v>
      </c>
      <c r="C214" s="70">
        <v>22.0</v>
      </c>
      <c r="D214" s="77"/>
      <c r="E214" s="102">
        <v>66.0</v>
      </c>
      <c r="F214" s="117"/>
      <c r="G214" s="102">
        <v>9.0</v>
      </c>
      <c r="H214" s="114"/>
      <c r="I214" s="119"/>
      <c r="J214" s="77"/>
      <c r="K214" s="103"/>
      <c r="L214" s="104"/>
      <c r="M214" s="105"/>
      <c r="N214" s="105"/>
      <c r="O214" s="105"/>
      <c r="P214" s="105"/>
      <c r="Q214" s="106"/>
      <c r="R214" s="105"/>
      <c r="S214" s="112"/>
      <c r="T214" s="112"/>
      <c r="U214" s="113"/>
      <c r="V214" s="77"/>
      <c r="W214" s="77"/>
      <c r="X214" s="77"/>
      <c r="Y214" s="77"/>
      <c r="Z214" s="107"/>
      <c r="AA214" s="107"/>
      <c r="AB214" s="97"/>
      <c r="AC214" s="108"/>
      <c r="AD214" s="108"/>
      <c r="AE214" s="108"/>
      <c r="AF214" s="109"/>
      <c r="AG214" s="110"/>
      <c r="AH214" s="111"/>
      <c r="AI214" s="77">
        <f t="shared" si="7"/>
        <v>97</v>
      </c>
      <c r="AJ214" s="78">
        <f t="shared" si="8"/>
        <v>32.33333333</v>
      </c>
      <c r="AK214" s="79">
        <f t="shared" si="9"/>
        <v>32.33333333</v>
      </c>
      <c r="AL214" s="78"/>
      <c r="AM214" s="81"/>
      <c r="AN214" s="81"/>
      <c r="AO214" s="81"/>
      <c r="AP214" s="81"/>
      <c r="AQ214" s="81"/>
      <c r="AR214" s="81"/>
      <c r="AS214" s="81"/>
      <c r="AT214" s="81"/>
      <c r="AU214" s="81"/>
      <c r="AV214" s="81"/>
      <c r="AW214" s="81"/>
      <c r="AX214" s="81"/>
      <c r="AY214" s="81"/>
      <c r="AZ214" s="81"/>
      <c r="BA214" s="81"/>
      <c r="BB214" s="81"/>
      <c r="BC214" s="81"/>
      <c r="BD214" s="81"/>
      <c r="BE214" s="81"/>
      <c r="BF214" s="81"/>
      <c r="BG214" s="81"/>
      <c r="BH214" s="81"/>
      <c r="BI214" s="81"/>
      <c r="BJ214" s="81"/>
    </row>
    <row r="215">
      <c r="A215" s="90">
        <v>44716.0</v>
      </c>
      <c r="B215" s="70">
        <f t="shared" si="11"/>
        <v>3</v>
      </c>
      <c r="C215" s="70">
        <v>17.0</v>
      </c>
      <c r="D215" s="120"/>
      <c r="E215" s="102">
        <v>73.0</v>
      </c>
      <c r="F215" s="117"/>
      <c r="G215" s="102">
        <v>4.0</v>
      </c>
      <c r="H215" s="115"/>
      <c r="I215" s="121"/>
      <c r="J215" s="96"/>
      <c r="K215" s="98"/>
      <c r="L215" s="105"/>
      <c r="M215" s="105"/>
      <c r="N215" s="105"/>
      <c r="O215" s="105"/>
      <c r="P215" s="105"/>
      <c r="Q215" s="122"/>
      <c r="R215" s="105"/>
      <c r="S215" s="123"/>
      <c r="T215" s="123"/>
      <c r="U215" s="113"/>
      <c r="V215" s="96"/>
      <c r="W215" s="96"/>
      <c r="X215" s="120"/>
      <c r="Y215" s="120"/>
      <c r="Z215" s="124"/>
      <c r="AA215" s="124"/>
      <c r="AB215" s="125"/>
      <c r="AC215" s="126"/>
      <c r="AD215" s="126"/>
      <c r="AE215" s="126"/>
      <c r="AF215" s="127"/>
      <c r="AG215" s="128"/>
      <c r="AH215" s="129">
        <v>170.0</v>
      </c>
      <c r="AI215" s="77">
        <f t="shared" si="7"/>
        <v>264</v>
      </c>
      <c r="AJ215" s="78">
        <f t="shared" si="8"/>
        <v>31.33333333</v>
      </c>
      <c r="AK215" s="79">
        <f t="shared" si="9"/>
        <v>66</v>
      </c>
      <c r="AL215" s="78"/>
      <c r="AM215" s="81"/>
      <c r="AN215" s="81"/>
      <c r="AO215" s="81"/>
      <c r="AP215" s="81"/>
      <c r="AQ215" s="81"/>
      <c r="AR215" s="81"/>
      <c r="AS215" s="81"/>
      <c r="AT215" s="81"/>
      <c r="AU215" s="81"/>
      <c r="AV215" s="81"/>
      <c r="AW215" s="81"/>
      <c r="AX215" s="81"/>
      <c r="AY215" s="81"/>
      <c r="AZ215" s="81"/>
      <c r="BA215" s="81"/>
      <c r="BB215" s="81"/>
      <c r="BC215" s="81"/>
      <c r="BD215" s="81"/>
      <c r="BE215" s="81"/>
      <c r="BF215" s="81"/>
      <c r="BG215" s="81"/>
      <c r="BH215" s="81"/>
      <c r="BI215" s="81"/>
      <c r="BJ215" s="81"/>
    </row>
    <row r="216">
      <c r="A216" s="90">
        <v>44709.0</v>
      </c>
      <c r="B216" s="70">
        <f t="shared" si="11"/>
        <v>2</v>
      </c>
      <c r="C216" s="70">
        <v>13.0</v>
      </c>
      <c r="D216" s="96"/>
      <c r="E216" s="102">
        <v>83.0</v>
      </c>
      <c r="F216" s="117"/>
      <c r="G216" s="102"/>
      <c r="H216" s="115"/>
      <c r="I216" s="121"/>
      <c r="J216" s="96"/>
      <c r="K216" s="98"/>
      <c r="L216" s="105"/>
      <c r="M216" s="105"/>
      <c r="N216" s="105"/>
      <c r="O216" s="105"/>
      <c r="P216" s="105"/>
      <c r="Q216" s="122"/>
      <c r="R216" s="105"/>
      <c r="S216" s="123"/>
      <c r="T216" s="123"/>
      <c r="U216" s="113"/>
      <c r="V216" s="96"/>
      <c r="W216" s="96"/>
      <c r="X216" s="96"/>
      <c r="Y216" s="96"/>
      <c r="Z216" s="91"/>
      <c r="AA216" s="91"/>
      <c r="AB216" s="97"/>
      <c r="AC216" s="93"/>
      <c r="AD216" s="93"/>
      <c r="AE216" s="93"/>
      <c r="AF216" s="130"/>
      <c r="AG216" s="92"/>
      <c r="AH216" s="95"/>
      <c r="AI216" s="77">
        <f t="shared" si="7"/>
        <v>96</v>
      </c>
      <c r="AJ216" s="78">
        <f t="shared" si="8"/>
        <v>48</v>
      </c>
      <c r="AK216" s="79">
        <f t="shared" si="9"/>
        <v>48</v>
      </c>
      <c r="AL216" s="78"/>
      <c r="AM216" s="81"/>
      <c r="AN216" s="81"/>
      <c r="AO216" s="81"/>
      <c r="AP216" s="81"/>
      <c r="AQ216" s="81"/>
      <c r="AR216" s="81"/>
      <c r="AS216" s="81"/>
      <c r="AT216" s="81"/>
      <c r="AU216" s="81"/>
      <c r="AV216" s="81"/>
      <c r="AW216" s="81"/>
      <c r="AX216" s="81"/>
      <c r="AY216" s="81"/>
      <c r="AZ216" s="81"/>
      <c r="BA216" s="81"/>
      <c r="BB216" s="81"/>
      <c r="BC216" s="81"/>
      <c r="BD216" s="81"/>
      <c r="BE216" s="81"/>
      <c r="BF216" s="81"/>
      <c r="BG216" s="81"/>
      <c r="BH216" s="81"/>
      <c r="BI216" s="81"/>
      <c r="BJ216" s="81"/>
    </row>
    <row r="217">
      <c r="A217" s="90">
        <v>44702.0</v>
      </c>
      <c r="B217" s="70">
        <f t="shared" si="11"/>
        <v>3</v>
      </c>
      <c r="C217" s="70">
        <v>22.0</v>
      </c>
      <c r="D217" s="96"/>
      <c r="E217" s="102">
        <v>86.0</v>
      </c>
      <c r="F217" s="117"/>
      <c r="G217" s="102">
        <v>7.0</v>
      </c>
      <c r="H217" s="115"/>
      <c r="I217" s="121"/>
      <c r="J217" s="96"/>
      <c r="K217" s="98"/>
      <c r="L217" s="105"/>
      <c r="M217" s="105"/>
      <c r="N217" s="105"/>
      <c r="O217" s="105"/>
      <c r="P217" s="105"/>
      <c r="Q217" s="122"/>
      <c r="R217" s="105"/>
      <c r="S217" s="123"/>
      <c r="T217" s="123"/>
      <c r="U217" s="113"/>
      <c r="V217" s="96"/>
      <c r="W217" s="96"/>
      <c r="X217" s="96"/>
      <c r="Y217" s="96"/>
      <c r="Z217" s="91"/>
      <c r="AA217" s="91"/>
      <c r="AB217" s="97"/>
      <c r="AC217" s="93"/>
      <c r="AD217" s="93"/>
      <c r="AE217" s="93"/>
      <c r="AF217" s="130"/>
      <c r="AG217" s="92"/>
      <c r="AH217" s="95"/>
      <c r="AI217" s="77">
        <f t="shared" si="7"/>
        <v>115</v>
      </c>
      <c r="AJ217" s="78">
        <f t="shared" si="8"/>
        <v>38.33333333</v>
      </c>
      <c r="AK217" s="79">
        <f t="shared" si="9"/>
        <v>38.33333333</v>
      </c>
      <c r="AL217" s="78"/>
      <c r="AM217" s="81"/>
      <c r="AO217" s="81"/>
      <c r="AP217" s="81"/>
      <c r="AQ217" s="81"/>
      <c r="AR217" s="81"/>
      <c r="AS217" s="81"/>
      <c r="AT217" s="81"/>
      <c r="AU217" s="81"/>
      <c r="AV217" s="81"/>
      <c r="AW217" s="81"/>
      <c r="AX217" s="81"/>
      <c r="AY217" s="81"/>
      <c r="AZ217" s="81"/>
      <c r="BA217" s="81"/>
      <c r="BB217" s="81"/>
      <c r="BC217" s="81"/>
      <c r="BD217" s="81"/>
      <c r="BE217" s="81"/>
      <c r="BF217" s="81"/>
      <c r="BG217" s="81"/>
      <c r="BH217" s="81"/>
      <c r="BI217" s="81"/>
      <c r="BJ217" s="81"/>
    </row>
    <row r="218">
      <c r="A218" s="90">
        <v>44695.0</v>
      </c>
      <c r="B218" s="70">
        <f t="shared" si="11"/>
        <v>3</v>
      </c>
      <c r="C218" s="70">
        <v>21.0</v>
      </c>
      <c r="D218" s="96"/>
      <c r="E218" s="102">
        <v>94.0</v>
      </c>
      <c r="F218" s="117"/>
      <c r="G218" s="102">
        <v>1.0</v>
      </c>
      <c r="H218" s="115"/>
      <c r="I218" s="121"/>
      <c r="J218" s="96"/>
      <c r="K218" s="98"/>
      <c r="L218" s="105"/>
      <c r="M218" s="105"/>
      <c r="N218" s="105"/>
      <c r="O218" s="105"/>
      <c r="P218" s="105"/>
      <c r="Q218" s="122"/>
      <c r="R218" s="105"/>
      <c r="S218" s="123"/>
      <c r="T218" s="123"/>
      <c r="U218" s="113"/>
      <c r="V218" s="96"/>
      <c r="W218" s="96"/>
      <c r="X218" s="96"/>
      <c r="Y218" s="96"/>
      <c r="Z218" s="91"/>
      <c r="AA218" s="91"/>
      <c r="AB218" s="97"/>
      <c r="AC218" s="93"/>
      <c r="AD218" s="93"/>
      <c r="AE218" s="93"/>
      <c r="AF218" s="130"/>
      <c r="AG218" s="92"/>
      <c r="AH218" s="95"/>
      <c r="AI218" s="77">
        <f t="shared" si="7"/>
        <v>116</v>
      </c>
      <c r="AJ218" s="78">
        <f t="shared" si="8"/>
        <v>38.66666667</v>
      </c>
      <c r="AK218" s="79">
        <f t="shared" si="9"/>
        <v>38.66666667</v>
      </c>
      <c r="AL218" s="78"/>
      <c r="AM218" s="81"/>
      <c r="AO218" s="81"/>
      <c r="AP218" s="81"/>
      <c r="AQ218" s="81"/>
      <c r="AR218" s="81"/>
      <c r="AS218" s="81"/>
      <c r="AT218" s="81"/>
      <c r="AU218" s="81"/>
      <c r="AV218" s="81"/>
      <c r="AW218" s="81"/>
      <c r="AX218" s="81"/>
      <c r="AY218" s="81"/>
      <c r="AZ218" s="81"/>
      <c r="BA218" s="81"/>
      <c r="BB218" s="81"/>
      <c r="BC218" s="81"/>
      <c r="BD218" s="81"/>
      <c r="BE218" s="81"/>
      <c r="BF218" s="81"/>
      <c r="BG218" s="81"/>
      <c r="BH218" s="81"/>
      <c r="BI218" s="81"/>
      <c r="BJ218" s="81"/>
    </row>
    <row r="219">
      <c r="A219" s="90">
        <v>44688.0</v>
      </c>
      <c r="B219" s="70">
        <f t="shared" si="11"/>
        <v>3</v>
      </c>
      <c r="C219" s="70">
        <v>13.0</v>
      </c>
      <c r="D219" s="96"/>
      <c r="E219" s="102">
        <v>67.0</v>
      </c>
      <c r="F219" s="117"/>
      <c r="G219" s="118">
        <v>6.0</v>
      </c>
      <c r="H219" s="114"/>
      <c r="I219" s="121"/>
      <c r="J219" s="96"/>
      <c r="K219" s="98"/>
      <c r="L219" s="105"/>
      <c r="M219" s="105"/>
      <c r="N219" s="105"/>
      <c r="O219" s="105"/>
      <c r="P219" s="105"/>
      <c r="Q219" s="122"/>
      <c r="R219" s="105"/>
      <c r="S219" s="123"/>
      <c r="T219" s="123"/>
      <c r="U219" s="113"/>
      <c r="V219" s="96"/>
      <c r="W219" s="96"/>
      <c r="X219" s="96"/>
      <c r="Y219" s="96"/>
      <c r="Z219" s="91"/>
      <c r="AA219" s="91"/>
      <c r="AB219" s="97"/>
      <c r="AC219" s="93"/>
      <c r="AD219" s="93"/>
      <c r="AE219" s="93"/>
      <c r="AF219" s="130"/>
      <c r="AG219" s="92"/>
      <c r="AH219" s="95"/>
      <c r="AI219" s="77">
        <f t="shared" si="7"/>
        <v>86</v>
      </c>
      <c r="AJ219" s="78">
        <f t="shared" si="8"/>
        <v>28.66666667</v>
      </c>
      <c r="AK219" s="79">
        <f t="shared" si="9"/>
        <v>28.66666667</v>
      </c>
      <c r="AL219" s="78"/>
      <c r="AM219" s="81"/>
      <c r="AO219" s="81"/>
      <c r="AP219" s="81"/>
      <c r="AQ219" s="81"/>
      <c r="AR219" s="81"/>
      <c r="AS219" s="81"/>
      <c r="AT219" s="81"/>
      <c r="AU219" s="81"/>
      <c r="AV219" s="81"/>
      <c r="AW219" s="81"/>
      <c r="AX219" s="81"/>
      <c r="AY219" s="81"/>
      <c r="AZ219" s="81"/>
      <c r="BA219" s="81"/>
      <c r="BB219" s="81"/>
      <c r="BC219" s="81"/>
      <c r="BD219" s="81"/>
      <c r="BE219" s="81"/>
      <c r="BF219" s="81"/>
      <c r="BG219" s="81"/>
      <c r="BH219" s="81"/>
      <c r="BI219" s="81"/>
      <c r="BJ219" s="81"/>
    </row>
    <row r="220">
      <c r="A220" s="90">
        <v>44681.0</v>
      </c>
      <c r="B220" s="70">
        <f t="shared" si="11"/>
        <v>3</v>
      </c>
      <c r="C220" s="70">
        <v>22.0</v>
      </c>
      <c r="D220" s="96"/>
      <c r="E220" s="102">
        <v>97.0</v>
      </c>
      <c r="F220" s="117"/>
      <c r="G220" s="102">
        <v>6.0</v>
      </c>
      <c r="H220" s="115"/>
      <c r="I220" s="121"/>
      <c r="J220" s="96"/>
      <c r="K220" s="98"/>
      <c r="L220" s="105"/>
      <c r="M220" s="105"/>
      <c r="N220" s="105"/>
      <c r="O220" s="105"/>
      <c r="P220" s="105"/>
      <c r="Q220" s="122"/>
      <c r="R220" s="105"/>
      <c r="S220" s="123"/>
      <c r="T220" s="123"/>
      <c r="U220" s="113"/>
      <c r="V220" s="96"/>
      <c r="W220" s="96"/>
      <c r="X220" s="96"/>
      <c r="Y220" s="96"/>
      <c r="Z220" s="91"/>
      <c r="AA220" s="91"/>
      <c r="AB220" s="97"/>
      <c r="AC220" s="93"/>
      <c r="AD220" s="93"/>
      <c r="AE220" s="93"/>
      <c r="AF220" s="130"/>
      <c r="AG220" s="92"/>
      <c r="AH220" s="95"/>
      <c r="AI220" s="77">
        <f t="shared" si="7"/>
        <v>125</v>
      </c>
      <c r="AJ220" s="78">
        <f t="shared" si="8"/>
        <v>41.66666667</v>
      </c>
      <c r="AK220" s="79">
        <f t="shared" si="9"/>
        <v>41.66666667</v>
      </c>
      <c r="AL220" s="78"/>
      <c r="AM220" s="81"/>
    </row>
    <row r="221">
      <c r="A221" s="90">
        <v>44674.0</v>
      </c>
      <c r="B221" s="70">
        <f t="shared" si="11"/>
        <v>2</v>
      </c>
      <c r="C221" s="70">
        <v>26.0</v>
      </c>
      <c r="D221" s="96"/>
      <c r="E221" s="102">
        <v>89.0</v>
      </c>
      <c r="F221" s="117"/>
      <c r="G221" s="102"/>
      <c r="H221" s="114"/>
      <c r="I221" s="121"/>
      <c r="J221" s="96"/>
      <c r="K221" s="98"/>
      <c r="L221" s="105"/>
      <c r="M221" s="105"/>
      <c r="N221" s="105"/>
      <c r="O221" s="105"/>
      <c r="P221" s="105"/>
      <c r="Q221" s="122"/>
      <c r="R221" s="105"/>
      <c r="S221" s="123"/>
      <c r="T221" s="123"/>
      <c r="U221" s="113"/>
      <c r="V221" s="96"/>
      <c r="W221" s="96"/>
      <c r="X221" s="96"/>
      <c r="Y221" s="96"/>
      <c r="Z221" s="91"/>
      <c r="AA221" s="91"/>
      <c r="AB221" s="97"/>
      <c r="AC221" s="93"/>
      <c r="AD221" s="93"/>
      <c r="AE221" s="93"/>
      <c r="AF221" s="130"/>
      <c r="AG221" s="92"/>
      <c r="AH221" s="95"/>
      <c r="AI221" s="77">
        <f t="shared" si="7"/>
        <v>115</v>
      </c>
      <c r="AJ221" s="78">
        <f t="shared" si="8"/>
        <v>57.5</v>
      </c>
      <c r="AK221" s="79">
        <f t="shared" si="9"/>
        <v>57.5</v>
      </c>
      <c r="AL221" s="78"/>
      <c r="AM221" s="81"/>
    </row>
    <row r="222">
      <c r="A222" s="90">
        <v>44667.0</v>
      </c>
      <c r="B222" s="70">
        <f t="shared" si="11"/>
        <v>3</v>
      </c>
      <c r="C222" s="70">
        <v>17.0</v>
      </c>
      <c r="D222" s="96"/>
      <c r="E222" s="102">
        <v>60.0</v>
      </c>
      <c r="F222" s="117"/>
      <c r="G222" s="102">
        <v>11.0</v>
      </c>
      <c r="H222" s="114"/>
      <c r="I222" s="121"/>
      <c r="J222" s="96"/>
      <c r="K222" s="98"/>
      <c r="L222" s="105"/>
      <c r="M222" s="105"/>
      <c r="N222" s="105"/>
      <c r="O222" s="105"/>
      <c r="P222" s="105"/>
      <c r="Q222" s="122"/>
      <c r="R222" s="105"/>
      <c r="S222" s="123"/>
      <c r="T222" s="123"/>
      <c r="U222" s="113"/>
      <c r="V222" s="96"/>
      <c r="W222" s="96"/>
      <c r="X222" s="96"/>
      <c r="Y222" s="96"/>
      <c r="Z222" s="91"/>
      <c r="AA222" s="91"/>
      <c r="AB222" s="97"/>
      <c r="AC222" s="93"/>
      <c r="AD222" s="93"/>
      <c r="AE222" s="93"/>
      <c r="AF222" s="130"/>
      <c r="AG222" s="92"/>
      <c r="AH222" s="95"/>
      <c r="AI222" s="77">
        <f t="shared" si="7"/>
        <v>88</v>
      </c>
      <c r="AJ222" s="78">
        <f t="shared" si="8"/>
        <v>29.33333333</v>
      </c>
      <c r="AK222" s="79">
        <f t="shared" si="9"/>
        <v>29.33333333</v>
      </c>
      <c r="AL222" s="78"/>
      <c r="AM222" s="81"/>
    </row>
    <row r="223">
      <c r="A223" s="90">
        <v>44660.0</v>
      </c>
      <c r="B223" s="70">
        <f t="shared" si="11"/>
        <v>3</v>
      </c>
      <c r="C223" s="70">
        <v>32.0</v>
      </c>
      <c r="D223" s="96"/>
      <c r="E223" s="102">
        <v>72.0</v>
      </c>
      <c r="F223" s="117"/>
      <c r="G223" s="102">
        <v>16.0</v>
      </c>
      <c r="H223" s="114"/>
      <c r="I223" s="121"/>
      <c r="J223" s="96"/>
      <c r="K223" s="98"/>
      <c r="L223" s="105"/>
      <c r="M223" s="105"/>
      <c r="N223" s="105"/>
      <c r="O223" s="105"/>
      <c r="P223" s="105"/>
      <c r="Q223" s="122"/>
      <c r="R223" s="105"/>
      <c r="S223" s="123"/>
      <c r="T223" s="123"/>
      <c r="U223" s="113"/>
      <c r="V223" s="96"/>
      <c r="W223" s="96"/>
      <c r="X223" s="96"/>
      <c r="Y223" s="96"/>
      <c r="Z223" s="91"/>
      <c r="AA223" s="91"/>
      <c r="AB223" s="97"/>
      <c r="AC223" s="93"/>
      <c r="AD223" s="93"/>
      <c r="AE223" s="93"/>
      <c r="AF223" s="130"/>
      <c r="AG223" s="92"/>
      <c r="AH223" s="95"/>
      <c r="AI223" s="77">
        <f t="shared" si="7"/>
        <v>120</v>
      </c>
      <c r="AJ223" s="78">
        <f t="shared" si="8"/>
        <v>40</v>
      </c>
      <c r="AK223" s="79">
        <f t="shared" si="9"/>
        <v>40</v>
      </c>
      <c r="AL223" s="78"/>
      <c r="AM223" s="81"/>
    </row>
    <row r="224">
      <c r="A224" s="90">
        <v>44653.0</v>
      </c>
      <c r="B224" s="70">
        <f t="shared" si="11"/>
        <v>3</v>
      </c>
      <c r="C224" s="70">
        <v>21.0</v>
      </c>
      <c r="D224" s="96"/>
      <c r="E224" s="102">
        <v>71.0</v>
      </c>
      <c r="F224" s="117"/>
      <c r="G224" s="118">
        <v>12.0</v>
      </c>
      <c r="H224" s="114"/>
      <c r="I224" s="121"/>
      <c r="J224" s="96"/>
      <c r="K224" s="98"/>
      <c r="L224" s="105"/>
      <c r="M224" s="105"/>
      <c r="N224" s="105"/>
      <c r="O224" s="105"/>
      <c r="P224" s="105"/>
      <c r="Q224" s="122"/>
      <c r="R224" s="105"/>
      <c r="S224" s="123"/>
      <c r="T224" s="123"/>
      <c r="U224" s="113"/>
      <c r="V224" s="96"/>
      <c r="W224" s="96"/>
      <c r="X224" s="96"/>
      <c r="Y224" s="96"/>
      <c r="Z224" s="91"/>
      <c r="AA224" s="91"/>
      <c r="AB224" s="97"/>
      <c r="AC224" s="93"/>
      <c r="AD224" s="93"/>
      <c r="AE224" s="93"/>
      <c r="AF224" s="130"/>
      <c r="AG224" s="92"/>
      <c r="AH224" s="95"/>
      <c r="AI224" s="77">
        <f t="shared" si="7"/>
        <v>104</v>
      </c>
      <c r="AJ224" s="78">
        <f t="shared" si="8"/>
        <v>34.66666667</v>
      </c>
      <c r="AK224" s="79">
        <f t="shared" si="9"/>
        <v>34.66666667</v>
      </c>
      <c r="AL224" s="78"/>
      <c r="AM224" s="81"/>
    </row>
    <row r="225">
      <c r="A225" s="90">
        <v>44646.0</v>
      </c>
      <c r="B225" s="70">
        <f t="shared" si="11"/>
        <v>3</v>
      </c>
      <c r="C225" s="70">
        <v>24.0</v>
      </c>
      <c r="D225" s="96"/>
      <c r="E225" s="102">
        <v>56.0</v>
      </c>
      <c r="F225" s="117"/>
      <c r="G225" s="102">
        <v>12.0</v>
      </c>
      <c r="H225" s="114"/>
      <c r="I225" s="121"/>
      <c r="J225" s="96"/>
      <c r="K225" s="98"/>
      <c r="L225" s="105"/>
      <c r="M225" s="105"/>
      <c r="N225" s="105"/>
      <c r="O225" s="105"/>
      <c r="P225" s="105"/>
      <c r="Q225" s="122"/>
      <c r="R225" s="105"/>
      <c r="S225" s="123"/>
      <c r="T225" s="123"/>
      <c r="U225" s="113"/>
      <c r="V225" s="96"/>
      <c r="W225" s="96"/>
      <c r="X225" s="96"/>
      <c r="Y225" s="96"/>
      <c r="Z225" s="91"/>
      <c r="AA225" s="91"/>
      <c r="AB225" s="97"/>
      <c r="AC225" s="93"/>
      <c r="AD225" s="93"/>
      <c r="AE225" s="93"/>
      <c r="AF225" s="130"/>
      <c r="AG225" s="92"/>
      <c r="AH225" s="95"/>
      <c r="AI225" s="77">
        <f t="shared" si="7"/>
        <v>92</v>
      </c>
      <c r="AJ225" s="78">
        <f t="shared" si="8"/>
        <v>30.66666667</v>
      </c>
      <c r="AK225" s="79">
        <f t="shared" si="9"/>
        <v>30.66666667</v>
      </c>
      <c r="AL225" s="78"/>
      <c r="AM225" s="81"/>
    </row>
    <row r="226">
      <c r="A226" s="90">
        <v>44639.0</v>
      </c>
      <c r="B226" s="70">
        <f t="shared" si="11"/>
        <v>3</v>
      </c>
      <c r="C226" s="70">
        <v>22.0</v>
      </c>
      <c r="D226" s="96"/>
      <c r="E226" s="102">
        <v>61.0</v>
      </c>
      <c r="F226" s="117"/>
      <c r="G226" s="102">
        <v>2.0</v>
      </c>
      <c r="H226" s="114"/>
      <c r="I226" s="121"/>
      <c r="J226" s="96"/>
      <c r="K226" s="98"/>
      <c r="L226" s="105"/>
      <c r="M226" s="105"/>
      <c r="N226" s="105"/>
      <c r="O226" s="105"/>
      <c r="P226" s="105"/>
      <c r="Q226" s="122"/>
      <c r="R226" s="105"/>
      <c r="S226" s="123"/>
      <c r="T226" s="123"/>
      <c r="U226" s="113"/>
      <c r="V226" s="96"/>
      <c r="W226" s="96"/>
      <c r="X226" s="96"/>
      <c r="Y226" s="96"/>
      <c r="Z226" s="91"/>
      <c r="AA226" s="91"/>
      <c r="AB226" s="97"/>
      <c r="AC226" s="93"/>
      <c r="AD226" s="93"/>
      <c r="AE226" s="93"/>
      <c r="AF226" s="130"/>
      <c r="AG226" s="92"/>
      <c r="AH226" s="95"/>
      <c r="AI226" s="77">
        <f t="shared" si="7"/>
        <v>85</v>
      </c>
      <c r="AJ226" s="78">
        <f t="shared" si="8"/>
        <v>28.33333333</v>
      </c>
      <c r="AK226" s="79">
        <f t="shared" si="9"/>
        <v>28.33333333</v>
      </c>
      <c r="AL226" s="78"/>
      <c r="AM226" s="81"/>
    </row>
    <row r="227">
      <c r="A227" s="90">
        <v>44632.0</v>
      </c>
      <c r="B227" s="70">
        <f t="shared" si="11"/>
        <v>3</v>
      </c>
      <c r="C227" s="70">
        <v>26.0</v>
      </c>
      <c r="D227" s="96"/>
      <c r="E227" s="102">
        <v>51.0</v>
      </c>
      <c r="F227" s="117"/>
      <c r="G227" s="102">
        <v>2.0</v>
      </c>
      <c r="H227" s="114"/>
      <c r="I227" s="121"/>
      <c r="J227" s="96"/>
      <c r="K227" s="98"/>
      <c r="L227" s="105"/>
      <c r="M227" s="105"/>
      <c r="N227" s="105"/>
      <c r="O227" s="105"/>
      <c r="P227" s="105"/>
      <c r="Q227" s="122"/>
      <c r="R227" s="105"/>
      <c r="S227" s="123"/>
      <c r="T227" s="123"/>
      <c r="U227" s="113"/>
      <c r="V227" s="96"/>
      <c r="W227" s="96"/>
      <c r="X227" s="96"/>
      <c r="Y227" s="96"/>
      <c r="Z227" s="91"/>
      <c r="AA227" s="91"/>
      <c r="AB227" s="97"/>
      <c r="AC227" s="93"/>
      <c r="AD227" s="93"/>
      <c r="AE227" s="93"/>
      <c r="AF227" s="130"/>
      <c r="AG227" s="92"/>
      <c r="AH227" s="95"/>
      <c r="AI227" s="77">
        <f t="shared" si="7"/>
        <v>79</v>
      </c>
      <c r="AJ227" s="78">
        <f t="shared" si="8"/>
        <v>26.33333333</v>
      </c>
      <c r="AK227" s="79">
        <f t="shared" si="9"/>
        <v>26.33333333</v>
      </c>
      <c r="AL227" s="78"/>
      <c r="AM227" s="81"/>
    </row>
    <row r="228">
      <c r="A228" s="131"/>
      <c r="B228" s="132"/>
      <c r="C228" s="132"/>
      <c r="Q228" s="133"/>
      <c r="Y228" s="134"/>
      <c r="AB228" s="135"/>
      <c r="AE228" s="134"/>
      <c r="AF228" s="132"/>
      <c r="AH228" s="136"/>
      <c r="AJ228" s="137"/>
      <c r="AK228" s="137"/>
      <c r="AL228" s="78"/>
      <c r="AM228" s="81"/>
    </row>
    <row r="229">
      <c r="A229" s="131"/>
      <c r="B229" s="132"/>
      <c r="C229" s="132"/>
      <c r="Q229" s="133"/>
      <c r="Y229" s="134"/>
      <c r="AB229" s="135"/>
      <c r="AE229" s="134"/>
      <c r="AF229" s="132"/>
      <c r="AH229" s="136"/>
      <c r="AJ229" s="137"/>
      <c r="AK229" s="137"/>
      <c r="AL229" s="78"/>
      <c r="AM229" s="81"/>
      <c r="AN229" s="68"/>
    </row>
    <row r="230">
      <c r="A230" s="131"/>
      <c r="B230" s="132"/>
      <c r="C230" s="132"/>
      <c r="Q230" s="133"/>
      <c r="Y230" s="134"/>
      <c r="AB230" s="135"/>
      <c r="AE230" s="134"/>
      <c r="AF230" s="132"/>
      <c r="AH230" s="136"/>
      <c r="AJ230" s="137"/>
      <c r="AK230" s="137"/>
      <c r="AL230" s="78"/>
      <c r="AM230" s="81"/>
    </row>
    <row r="231">
      <c r="A231" s="131"/>
      <c r="B231" s="132"/>
      <c r="C231" s="132"/>
      <c r="Q231" s="133"/>
      <c r="Y231" s="134"/>
      <c r="AB231" s="135"/>
      <c r="AE231" s="134"/>
      <c r="AF231" s="132"/>
      <c r="AH231" s="136"/>
      <c r="AJ231" s="137"/>
      <c r="AK231" s="137"/>
      <c r="AL231" s="78"/>
      <c r="AM231" s="81"/>
    </row>
    <row r="232">
      <c r="A232" s="131"/>
      <c r="B232" s="132"/>
      <c r="C232" s="132"/>
      <c r="Q232" s="133"/>
      <c r="Y232" s="134"/>
      <c r="AB232" s="135"/>
      <c r="AE232" s="134"/>
      <c r="AF232" s="132"/>
      <c r="AH232" s="136"/>
      <c r="AJ232" s="137"/>
      <c r="AK232" s="137"/>
      <c r="AL232" s="137"/>
    </row>
    <row r="233">
      <c r="A233" s="131"/>
      <c r="B233" s="132"/>
      <c r="C233" s="132"/>
      <c r="Q233" s="133"/>
      <c r="Y233" s="134"/>
      <c r="AB233" s="135"/>
      <c r="AE233" s="134"/>
      <c r="AF233" s="132"/>
      <c r="AH233" s="136"/>
      <c r="AJ233" s="137"/>
      <c r="AK233" s="137"/>
      <c r="AL233" s="137"/>
    </row>
    <row r="234">
      <c r="A234" s="131"/>
      <c r="B234" s="132"/>
      <c r="C234" s="132"/>
      <c r="Q234" s="133"/>
      <c r="Y234" s="134"/>
      <c r="AB234" s="135"/>
      <c r="AE234" s="134"/>
      <c r="AF234" s="132"/>
      <c r="AH234" s="136"/>
      <c r="AJ234" s="137"/>
      <c r="AK234" s="137"/>
      <c r="AL234" s="137"/>
    </row>
    <row r="235">
      <c r="A235" s="131"/>
      <c r="B235" s="132"/>
      <c r="C235" s="132"/>
      <c r="Q235" s="133"/>
      <c r="Y235" s="134"/>
      <c r="AB235" s="135"/>
      <c r="AE235" s="134"/>
      <c r="AF235" s="132"/>
      <c r="AH235" s="136"/>
      <c r="AJ235" s="137"/>
      <c r="AK235" s="137"/>
      <c r="AL235" s="137"/>
    </row>
    <row r="236">
      <c r="A236" s="131"/>
      <c r="B236" s="132"/>
      <c r="C236" s="132"/>
      <c r="Q236" s="133"/>
      <c r="Y236" s="134"/>
      <c r="AB236" s="135"/>
      <c r="AE236" s="134"/>
      <c r="AF236" s="132"/>
      <c r="AH236" s="136"/>
      <c r="AJ236" s="137"/>
      <c r="AK236" s="137"/>
      <c r="AL236" s="137"/>
    </row>
    <row r="237">
      <c r="A237" s="131"/>
      <c r="B237" s="132"/>
      <c r="C237" s="132"/>
      <c r="Q237" s="133"/>
      <c r="Y237" s="134"/>
      <c r="AB237" s="135"/>
      <c r="AE237" s="134"/>
      <c r="AF237" s="132"/>
      <c r="AH237" s="136"/>
      <c r="AJ237" s="137"/>
      <c r="AK237" s="137"/>
      <c r="AL237" s="137"/>
    </row>
    <row r="238">
      <c r="A238" s="131"/>
      <c r="B238" s="132"/>
      <c r="C238" s="132"/>
      <c r="Q238" s="133"/>
      <c r="Y238" s="134"/>
      <c r="AB238" s="135"/>
      <c r="AE238" s="134"/>
      <c r="AF238" s="132"/>
      <c r="AH238" s="136"/>
      <c r="AJ238" s="137"/>
      <c r="AK238" s="137"/>
      <c r="AL238" s="137"/>
    </row>
    <row r="239">
      <c r="A239" s="131"/>
      <c r="B239" s="132"/>
      <c r="C239" s="132"/>
      <c r="Q239" s="133"/>
      <c r="Y239" s="134"/>
      <c r="AB239" s="135"/>
      <c r="AE239" s="134"/>
      <c r="AF239" s="132"/>
      <c r="AH239" s="136"/>
      <c r="AJ239" s="137"/>
      <c r="AK239" s="137"/>
      <c r="AL239" s="137"/>
    </row>
    <row r="240">
      <c r="A240" s="131"/>
      <c r="B240" s="132"/>
      <c r="C240" s="132"/>
      <c r="Q240" s="133"/>
      <c r="Y240" s="134"/>
      <c r="AB240" s="135"/>
      <c r="AE240" s="134"/>
      <c r="AF240" s="132"/>
      <c r="AH240" s="136"/>
      <c r="AJ240" s="137"/>
      <c r="AK240" s="137"/>
      <c r="AL240" s="137"/>
    </row>
    <row r="241">
      <c r="A241" s="131"/>
      <c r="B241" s="132"/>
      <c r="C241" s="132"/>
      <c r="Q241" s="133"/>
      <c r="Y241" s="134"/>
      <c r="AB241" s="135"/>
      <c r="AE241" s="134"/>
      <c r="AF241" s="132"/>
      <c r="AH241" s="136"/>
      <c r="AJ241" s="137"/>
      <c r="AK241" s="137"/>
      <c r="AL241" s="137"/>
    </row>
    <row r="242">
      <c r="A242" s="131"/>
      <c r="B242" s="132"/>
      <c r="C242" s="132"/>
      <c r="Q242" s="133"/>
      <c r="Y242" s="134"/>
      <c r="AB242" s="135"/>
      <c r="AE242" s="134"/>
      <c r="AF242" s="132"/>
      <c r="AH242" s="136"/>
      <c r="AJ242" s="137"/>
      <c r="AK242" s="137"/>
      <c r="AL242" s="137"/>
    </row>
    <row r="243">
      <c r="A243" s="131"/>
      <c r="B243" s="132"/>
      <c r="C243" s="132"/>
      <c r="Q243" s="133"/>
      <c r="Y243" s="134"/>
      <c r="AB243" s="135"/>
      <c r="AE243" s="134"/>
      <c r="AF243" s="132"/>
      <c r="AH243" s="136"/>
      <c r="AJ243" s="137"/>
      <c r="AK243" s="137"/>
      <c r="AL243" s="137"/>
    </row>
    <row r="244">
      <c r="A244" s="131"/>
      <c r="B244" s="132"/>
      <c r="C244" s="132"/>
      <c r="Q244" s="133"/>
      <c r="Y244" s="134"/>
      <c r="AB244" s="135"/>
      <c r="AE244" s="134"/>
      <c r="AF244" s="132"/>
      <c r="AH244" s="136"/>
      <c r="AJ244" s="137"/>
      <c r="AK244" s="137"/>
      <c r="AL244" s="137"/>
    </row>
    <row r="245">
      <c r="A245" s="131"/>
      <c r="B245" s="132"/>
      <c r="C245" s="132"/>
      <c r="Q245" s="133"/>
      <c r="Y245" s="134"/>
      <c r="AB245" s="135"/>
      <c r="AE245" s="134"/>
      <c r="AF245" s="132"/>
      <c r="AH245" s="136"/>
      <c r="AJ245" s="137"/>
      <c r="AK245" s="137"/>
      <c r="AL245" s="137"/>
    </row>
    <row r="246">
      <c r="A246" s="131"/>
      <c r="B246" s="132"/>
      <c r="C246" s="132"/>
      <c r="Q246" s="133"/>
      <c r="Y246" s="134"/>
      <c r="AB246" s="135"/>
      <c r="AE246" s="134"/>
      <c r="AF246" s="132"/>
      <c r="AH246" s="136"/>
      <c r="AJ246" s="137"/>
      <c r="AK246" s="137"/>
      <c r="AL246" s="137"/>
    </row>
    <row r="247">
      <c r="A247" s="131"/>
      <c r="B247" s="132"/>
      <c r="C247" s="132"/>
      <c r="Q247" s="133"/>
      <c r="Y247" s="134"/>
      <c r="AB247" s="135"/>
      <c r="AE247" s="134"/>
      <c r="AF247" s="132"/>
      <c r="AH247" s="136"/>
      <c r="AJ247" s="137"/>
      <c r="AK247" s="137"/>
      <c r="AL247" s="137"/>
    </row>
    <row r="248">
      <c r="A248" s="131"/>
      <c r="B248" s="132"/>
      <c r="C248" s="132"/>
      <c r="Q248" s="133"/>
      <c r="Y248" s="134"/>
      <c r="AB248" s="135"/>
      <c r="AE248" s="134"/>
      <c r="AF248" s="132"/>
      <c r="AH248" s="136"/>
      <c r="AJ248" s="137"/>
      <c r="AK248" s="137"/>
      <c r="AL248" s="137"/>
    </row>
    <row r="249">
      <c r="A249" s="131"/>
      <c r="B249" s="132"/>
      <c r="C249" s="132"/>
      <c r="Q249" s="133"/>
      <c r="Y249" s="134"/>
      <c r="AB249" s="135"/>
      <c r="AE249" s="134"/>
      <c r="AF249" s="132"/>
      <c r="AH249" s="136"/>
      <c r="AJ249" s="137"/>
      <c r="AK249" s="137"/>
      <c r="AL249" s="137"/>
    </row>
    <row r="250">
      <c r="A250" s="131"/>
      <c r="B250" s="132"/>
      <c r="C250" s="132"/>
      <c r="Q250" s="133"/>
      <c r="Y250" s="134"/>
      <c r="AB250" s="135"/>
      <c r="AE250" s="134"/>
      <c r="AF250" s="132"/>
      <c r="AH250" s="136"/>
      <c r="AJ250" s="137"/>
      <c r="AK250" s="137"/>
      <c r="AL250" s="137"/>
    </row>
    <row r="251">
      <c r="A251" s="131"/>
      <c r="B251" s="132"/>
      <c r="C251" s="132"/>
      <c r="Q251" s="133"/>
      <c r="Y251" s="134"/>
      <c r="AB251" s="135"/>
      <c r="AE251" s="134"/>
      <c r="AF251" s="132"/>
      <c r="AH251" s="136"/>
      <c r="AJ251" s="137"/>
      <c r="AK251" s="137"/>
      <c r="AL251" s="137"/>
    </row>
    <row r="252">
      <c r="A252" s="131"/>
      <c r="B252" s="132"/>
      <c r="C252" s="132"/>
      <c r="Q252" s="133"/>
      <c r="Y252" s="134"/>
      <c r="AB252" s="135"/>
      <c r="AE252" s="134"/>
      <c r="AF252" s="132"/>
      <c r="AH252" s="136"/>
      <c r="AJ252" s="137"/>
      <c r="AK252" s="137"/>
      <c r="AL252" s="137"/>
    </row>
    <row r="253">
      <c r="A253" s="131"/>
      <c r="B253" s="132"/>
      <c r="C253" s="132"/>
      <c r="Q253" s="133"/>
      <c r="Y253" s="134"/>
      <c r="AB253" s="135"/>
      <c r="AE253" s="134"/>
      <c r="AF253" s="132"/>
      <c r="AH253" s="136"/>
      <c r="AJ253" s="137"/>
      <c r="AK253" s="137"/>
      <c r="AL253" s="137"/>
    </row>
    <row r="254">
      <c r="A254" s="131"/>
      <c r="B254" s="132"/>
      <c r="C254" s="132"/>
      <c r="Q254" s="133"/>
      <c r="Y254" s="134"/>
      <c r="AB254" s="135"/>
      <c r="AE254" s="134"/>
      <c r="AF254" s="132"/>
      <c r="AH254" s="136"/>
      <c r="AJ254" s="137"/>
      <c r="AK254" s="137"/>
      <c r="AL254" s="137"/>
    </row>
    <row r="255">
      <c r="A255" s="131"/>
      <c r="B255" s="132"/>
      <c r="C255" s="132"/>
      <c r="Q255" s="133"/>
      <c r="Y255" s="134"/>
      <c r="AB255" s="135"/>
      <c r="AE255" s="134"/>
      <c r="AF255" s="132"/>
      <c r="AH255" s="136"/>
      <c r="AJ255" s="137"/>
      <c r="AK255" s="137"/>
      <c r="AL255" s="137"/>
    </row>
    <row r="256">
      <c r="A256" s="131"/>
      <c r="B256" s="132"/>
      <c r="C256" s="132"/>
      <c r="Q256" s="133"/>
      <c r="Y256" s="134"/>
      <c r="AB256" s="135"/>
      <c r="AE256" s="134"/>
      <c r="AF256" s="132"/>
      <c r="AH256" s="136"/>
      <c r="AJ256" s="137"/>
      <c r="AK256" s="137"/>
      <c r="AL256" s="137"/>
    </row>
    <row r="257">
      <c r="A257" s="131"/>
      <c r="B257" s="132"/>
      <c r="C257" s="132"/>
      <c r="Q257" s="133"/>
      <c r="Y257" s="134"/>
      <c r="AB257" s="135"/>
      <c r="AE257" s="134"/>
      <c r="AF257" s="132"/>
      <c r="AH257" s="136"/>
      <c r="AJ257" s="137"/>
      <c r="AK257" s="137"/>
      <c r="AL257" s="137"/>
    </row>
    <row r="258">
      <c r="A258" s="131"/>
      <c r="B258" s="132"/>
      <c r="C258" s="132"/>
      <c r="Q258" s="133"/>
      <c r="Y258" s="134"/>
      <c r="AB258" s="135"/>
      <c r="AE258" s="134"/>
      <c r="AF258" s="132"/>
      <c r="AH258" s="136"/>
      <c r="AJ258" s="137"/>
      <c r="AK258" s="137"/>
      <c r="AL258" s="137"/>
    </row>
    <row r="259">
      <c r="A259" s="131"/>
      <c r="B259" s="132"/>
      <c r="C259" s="132"/>
      <c r="Q259" s="133"/>
      <c r="Y259" s="134"/>
      <c r="AB259" s="135"/>
      <c r="AE259" s="134"/>
      <c r="AF259" s="132"/>
      <c r="AH259" s="136"/>
      <c r="AJ259" s="137"/>
      <c r="AK259" s="137"/>
      <c r="AL259" s="137"/>
    </row>
    <row r="260">
      <c r="A260" s="131"/>
      <c r="B260" s="132"/>
      <c r="C260" s="132"/>
      <c r="Q260" s="133"/>
      <c r="Y260" s="134"/>
      <c r="AB260" s="135"/>
      <c r="AE260" s="134"/>
      <c r="AF260" s="132"/>
      <c r="AH260" s="136"/>
      <c r="AJ260" s="137"/>
      <c r="AK260" s="137"/>
      <c r="AL260" s="137"/>
    </row>
    <row r="261">
      <c r="A261" s="131"/>
      <c r="B261" s="132"/>
      <c r="C261" s="132"/>
      <c r="Q261" s="133"/>
      <c r="Y261" s="134"/>
      <c r="AB261" s="135"/>
      <c r="AE261" s="134"/>
      <c r="AF261" s="132"/>
      <c r="AH261" s="136"/>
      <c r="AJ261" s="137"/>
      <c r="AK261" s="137"/>
      <c r="AL261" s="137"/>
    </row>
    <row r="262">
      <c r="A262" s="131"/>
      <c r="B262" s="132"/>
      <c r="C262" s="132"/>
      <c r="Q262" s="133"/>
      <c r="Y262" s="134"/>
      <c r="AB262" s="135"/>
      <c r="AE262" s="134"/>
      <c r="AF262" s="132"/>
      <c r="AH262" s="136"/>
      <c r="AJ262" s="137"/>
      <c r="AK262" s="137"/>
      <c r="AL262" s="137"/>
    </row>
    <row r="263">
      <c r="A263" s="131"/>
      <c r="B263" s="132"/>
      <c r="C263" s="132"/>
      <c r="Q263" s="133"/>
      <c r="Y263" s="134"/>
      <c r="AB263" s="135"/>
      <c r="AE263" s="134"/>
      <c r="AF263" s="132"/>
      <c r="AH263" s="136"/>
      <c r="AJ263" s="137"/>
      <c r="AK263" s="137"/>
      <c r="AL263" s="137"/>
    </row>
    <row r="264">
      <c r="A264" s="131"/>
      <c r="B264" s="132"/>
      <c r="C264" s="132"/>
      <c r="Q264" s="133"/>
      <c r="Y264" s="134"/>
      <c r="AB264" s="135"/>
      <c r="AE264" s="134"/>
      <c r="AF264" s="132"/>
      <c r="AH264" s="136"/>
      <c r="AJ264" s="137"/>
      <c r="AK264" s="137"/>
      <c r="AL264" s="137"/>
    </row>
    <row r="265">
      <c r="A265" s="131"/>
      <c r="B265" s="132"/>
      <c r="C265" s="132"/>
      <c r="Q265" s="133"/>
      <c r="Y265" s="134"/>
      <c r="AB265" s="135"/>
      <c r="AE265" s="134"/>
      <c r="AF265" s="132"/>
      <c r="AH265" s="136"/>
      <c r="AJ265" s="137"/>
      <c r="AK265" s="137"/>
      <c r="AL265" s="137"/>
    </row>
    <row r="266">
      <c r="A266" s="131"/>
      <c r="B266" s="132"/>
      <c r="C266" s="132"/>
      <c r="Q266" s="133"/>
      <c r="Y266" s="134"/>
      <c r="AB266" s="135"/>
      <c r="AE266" s="134"/>
      <c r="AF266" s="132"/>
      <c r="AH266" s="136"/>
      <c r="AJ266" s="137"/>
      <c r="AK266" s="137"/>
      <c r="AL266" s="137"/>
    </row>
    <row r="267">
      <c r="A267" s="131"/>
      <c r="B267" s="132"/>
      <c r="C267" s="132"/>
      <c r="Q267" s="133"/>
      <c r="Y267" s="134"/>
      <c r="AB267" s="135"/>
      <c r="AE267" s="134"/>
      <c r="AF267" s="132"/>
      <c r="AH267" s="136"/>
      <c r="AJ267" s="137"/>
      <c r="AK267" s="137"/>
      <c r="AL267" s="137"/>
    </row>
    <row r="268">
      <c r="A268" s="131"/>
      <c r="B268" s="132"/>
      <c r="C268" s="132"/>
      <c r="Q268" s="133"/>
      <c r="Y268" s="134"/>
      <c r="AB268" s="135"/>
      <c r="AE268" s="134"/>
      <c r="AF268" s="132"/>
      <c r="AH268" s="136"/>
      <c r="AJ268" s="137"/>
      <c r="AK268" s="137"/>
      <c r="AL268" s="137"/>
    </row>
    <row r="269">
      <c r="A269" s="131"/>
      <c r="B269" s="132"/>
      <c r="C269" s="132"/>
      <c r="Q269" s="133"/>
      <c r="Y269" s="134"/>
      <c r="AB269" s="135"/>
      <c r="AE269" s="134"/>
      <c r="AF269" s="132"/>
      <c r="AH269" s="136"/>
      <c r="AJ269" s="137"/>
      <c r="AK269" s="137"/>
      <c r="AL269" s="137"/>
    </row>
    <row r="270">
      <c r="A270" s="131"/>
      <c r="B270" s="132"/>
      <c r="C270" s="132"/>
      <c r="Q270" s="133"/>
      <c r="Y270" s="134"/>
      <c r="AB270" s="135"/>
      <c r="AE270" s="134"/>
      <c r="AF270" s="132"/>
      <c r="AH270" s="136"/>
      <c r="AJ270" s="137"/>
      <c r="AK270" s="137"/>
      <c r="AL270" s="137"/>
    </row>
    <row r="271">
      <c r="A271" s="131"/>
      <c r="B271" s="132"/>
      <c r="C271" s="132"/>
      <c r="Q271" s="133"/>
      <c r="Y271" s="134"/>
      <c r="AB271" s="135"/>
      <c r="AE271" s="134"/>
      <c r="AF271" s="132"/>
      <c r="AH271" s="136"/>
      <c r="AJ271" s="137"/>
      <c r="AK271" s="137"/>
      <c r="AL271" s="137"/>
    </row>
    <row r="272">
      <c r="A272" s="131"/>
      <c r="B272" s="132"/>
      <c r="C272" s="132"/>
      <c r="Q272" s="133"/>
      <c r="Y272" s="134"/>
      <c r="AB272" s="135"/>
      <c r="AE272" s="134"/>
      <c r="AF272" s="132"/>
      <c r="AH272" s="136"/>
      <c r="AJ272" s="137"/>
      <c r="AK272" s="137"/>
      <c r="AL272" s="137"/>
    </row>
    <row r="273">
      <c r="A273" s="131"/>
      <c r="B273" s="132"/>
      <c r="C273" s="132"/>
      <c r="Q273" s="133"/>
      <c r="Y273" s="134"/>
      <c r="AB273" s="135"/>
      <c r="AE273" s="134"/>
      <c r="AF273" s="132"/>
      <c r="AH273" s="136"/>
      <c r="AJ273" s="137"/>
      <c r="AK273" s="137"/>
      <c r="AL273" s="137"/>
    </row>
    <row r="274">
      <c r="A274" s="131"/>
      <c r="B274" s="132"/>
      <c r="C274" s="132"/>
      <c r="Q274" s="133"/>
      <c r="Y274" s="134"/>
      <c r="AB274" s="135"/>
      <c r="AE274" s="134"/>
      <c r="AF274" s="132"/>
      <c r="AH274" s="136"/>
      <c r="AJ274" s="137"/>
      <c r="AK274" s="137"/>
      <c r="AL274" s="137"/>
    </row>
    <row r="275">
      <c r="A275" s="131"/>
      <c r="B275" s="132"/>
      <c r="C275" s="132"/>
      <c r="Q275" s="133"/>
      <c r="Y275" s="134"/>
      <c r="AB275" s="135"/>
      <c r="AE275" s="134"/>
      <c r="AF275" s="132"/>
      <c r="AH275" s="136"/>
      <c r="AJ275" s="137"/>
      <c r="AK275" s="137"/>
      <c r="AL275" s="137"/>
    </row>
    <row r="276">
      <c r="A276" s="131"/>
      <c r="B276" s="132"/>
      <c r="C276" s="132"/>
      <c r="Q276" s="133"/>
      <c r="Y276" s="134"/>
      <c r="AB276" s="135"/>
      <c r="AE276" s="134"/>
      <c r="AF276" s="132"/>
      <c r="AH276" s="136"/>
      <c r="AJ276" s="137"/>
      <c r="AK276" s="137"/>
      <c r="AL276" s="137"/>
    </row>
    <row r="277">
      <c r="A277" s="131"/>
      <c r="B277" s="132"/>
      <c r="C277" s="132"/>
      <c r="Q277" s="133"/>
      <c r="Y277" s="134"/>
      <c r="AB277" s="135"/>
      <c r="AE277" s="134"/>
      <c r="AF277" s="132"/>
      <c r="AH277" s="136"/>
      <c r="AJ277" s="137"/>
      <c r="AK277" s="137"/>
      <c r="AL277" s="137"/>
    </row>
    <row r="278">
      <c r="A278" s="131"/>
      <c r="B278" s="132"/>
      <c r="C278" s="132"/>
      <c r="Q278" s="133"/>
      <c r="Y278" s="134"/>
      <c r="AB278" s="135"/>
      <c r="AE278" s="134"/>
      <c r="AF278" s="132"/>
      <c r="AH278" s="136"/>
      <c r="AJ278" s="137"/>
      <c r="AK278" s="137"/>
      <c r="AL278" s="137"/>
    </row>
    <row r="279">
      <c r="A279" s="131"/>
      <c r="B279" s="132"/>
      <c r="C279" s="132"/>
      <c r="Q279" s="133"/>
      <c r="Y279" s="134"/>
      <c r="AB279" s="135"/>
      <c r="AE279" s="134"/>
      <c r="AF279" s="132"/>
      <c r="AH279" s="136"/>
      <c r="AJ279" s="137"/>
      <c r="AK279" s="137"/>
      <c r="AL279" s="137"/>
    </row>
    <row r="280">
      <c r="A280" s="131"/>
      <c r="B280" s="132"/>
      <c r="C280" s="132"/>
      <c r="Q280" s="133"/>
      <c r="Y280" s="134"/>
      <c r="AB280" s="135"/>
      <c r="AE280" s="134"/>
      <c r="AF280" s="132"/>
      <c r="AH280" s="136"/>
      <c r="AJ280" s="137"/>
      <c r="AK280" s="137"/>
      <c r="AL280" s="137"/>
    </row>
    <row r="281">
      <c r="A281" s="131"/>
      <c r="B281" s="132"/>
      <c r="C281" s="132"/>
      <c r="Q281" s="133"/>
      <c r="Y281" s="134"/>
      <c r="AB281" s="135"/>
      <c r="AE281" s="134"/>
      <c r="AF281" s="132"/>
      <c r="AH281" s="136"/>
      <c r="AJ281" s="137"/>
      <c r="AK281" s="137"/>
      <c r="AL281" s="137"/>
    </row>
    <row r="282">
      <c r="A282" s="131"/>
      <c r="B282" s="132"/>
      <c r="C282" s="132"/>
      <c r="Q282" s="133"/>
      <c r="Y282" s="134"/>
      <c r="AB282" s="135"/>
      <c r="AE282" s="134"/>
      <c r="AF282" s="132"/>
      <c r="AH282" s="136"/>
      <c r="AJ282" s="137"/>
      <c r="AK282" s="137"/>
      <c r="AL282" s="137"/>
    </row>
    <row r="283">
      <c r="A283" s="131"/>
      <c r="B283" s="132"/>
      <c r="C283" s="132"/>
      <c r="Q283" s="133"/>
      <c r="Y283" s="134"/>
      <c r="AB283" s="135"/>
      <c r="AE283" s="134"/>
      <c r="AF283" s="132"/>
      <c r="AH283" s="136"/>
      <c r="AJ283" s="137"/>
      <c r="AK283" s="137"/>
      <c r="AL283" s="137"/>
    </row>
    <row r="284">
      <c r="A284" s="131"/>
      <c r="B284" s="132"/>
      <c r="C284" s="132"/>
      <c r="Q284" s="133"/>
      <c r="Y284" s="134"/>
      <c r="AB284" s="135"/>
      <c r="AE284" s="134"/>
      <c r="AF284" s="132"/>
      <c r="AH284" s="136"/>
      <c r="AJ284" s="137"/>
      <c r="AK284" s="137"/>
      <c r="AL284" s="137"/>
    </row>
    <row r="285">
      <c r="A285" s="131"/>
      <c r="B285" s="132"/>
      <c r="C285" s="132"/>
      <c r="Q285" s="133"/>
      <c r="Y285" s="134"/>
      <c r="AB285" s="135"/>
      <c r="AE285" s="134"/>
      <c r="AF285" s="132"/>
      <c r="AH285" s="136"/>
      <c r="AJ285" s="137"/>
      <c r="AK285" s="137"/>
      <c r="AL285" s="137"/>
    </row>
    <row r="286">
      <c r="A286" s="131"/>
      <c r="B286" s="132"/>
      <c r="C286" s="132"/>
      <c r="Q286" s="133"/>
      <c r="Y286" s="134"/>
      <c r="AB286" s="135"/>
      <c r="AE286" s="134"/>
      <c r="AF286" s="132"/>
      <c r="AH286" s="136"/>
      <c r="AJ286" s="137"/>
      <c r="AK286" s="137"/>
      <c r="AL286" s="137"/>
    </row>
    <row r="287">
      <c r="A287" s="131"/>
      <c r="B287" s="132"/>
      <c r="C287" s="132"/>
      <c r="Q287" s="133"/>
      <c r="Y287" s="134"/>
      <c r="AB287" s="135"/>
      <c r="AE287" s="134"/>
      <c r="AF287" s="132"/>
      <c r="AH287" s="136"/>
      <c r="AJ287" s="137"/>
      <c r="AK287" s="137"/>
      <c r="AL287" s="137"/>
    </row>
    <row r="288">
      <c r="A288" s="131"/>
      <c r="B288" s="132"/>
      <c r="C288" s="132"/>
      <c r="Q288" s="133"/>
      <c r="Y288" s="134"/>
      <c r="AB288" s="135"/>
      <c r="AE288" s="134"/>
      <c r="AF288" s="132"/>
      <c r="AH288" s="136"/>
      <c r="AJ288" s="137"/>
      <c r="AK288" s="137"/>
      <c r="AL288" s="137"/>
    </row>
    <row r="289">
      <c r="A289" s="131"/>
      <c r="B289" s="132"/>
      <c r="C289" s="132"/>
      <c r="Q289" s="133"/>
      <c r="Y289" s="134"/>
      <c r="AB289" s="135"/>
      <c r="AE289" s="134"/>
      <c r="AF289" s="132"/>
      <c r="AH289" s="136"/>
      <c r="AJ289" s="137"/>
      <c r="AK289" s="137"/>
      <c r="AL289" s="137"/>
    </row>
    <row r="290">
      <c r="A290" s="131"/>
      <c r="B290" s="132"/>
      <c r="C290" s="132"/>
      <c r="Q290" s="133"/>
      <c r="Y290" s="134"/>
      <c r="AB290" s="135"/>
      <c r="AE290" s="134"/>
      <c r="AF290" s="132"/>
      <c r="AH290" s="136"/>
      <c r="AJ290" s="137"/>
      <c r="AK290" s="137"/>
      <c r="AL290" s="137"/>
    </row>
    <row r="291">
      <c r="A291" s="131"/>
      <c r="B291" s="132"/>
      <c r="C291" s="132"/>
      <c r="Q291" s="133"/>
      <c r="Y291" s="134"/>
      <c r="AB291" s="135"/>
      <c r="AE291" s="134"/>
      <c r="AF291" s="132"/>
      <c r="AH291" s="136"/>
      <c r="AJ291" s="137"/>
      <c r="AK291" s="137"/>
      <c r="AL291" s="137"/>
    </row>
    <row r="292">
      <c r="A292" s="131"/>
      <c r="B292" s="132"/>
      <c r="C292" s="132"/>
      <c r="Q292" s="133"/>
      <c r="Y292" s="134"/>
      <c r="AB292" s="135"/>
      <c r="AE292" s="134"/>
      <c r="AF292" s="132"/>
      <c r="AH292" s="136"/>
      <c r="AJ292" s="137"/>
      <c r="AK292" s="137"/>
      <c r="AL292" s="137"/>
    </row>
    <row r="293">
      <c r="A293" s="131"/>
      <c r="B293" s="132"/>
      <c r="C293" s="132"/>
      <c r="Q293" s="133"/>
      <c r="Y293" s="134"/>
      <c r="AB293" s="135"/>
      <c r="AE293" s="134"/>
      <c r="AF293" s="132"/>
      <c r="AH293" s="136"/>
      <c r="AJ293" s="137"/>
      <c r="AK293" s="137"/>
      <c r="AL293" s="137"/>
    </row>
    <row r="294">
      <c r="A294" s="131"/>
      <c r="B294" s="132"/>
      <c r="C294" s="132"/>
      <c r="Q294" s="133"/>
      <c r="Y294" s="134"/>
      <c r="AB294" s="135"/>
      <c r="AE294" s="134"/>
      <c r="AF294" s="132"/>
      <c r="AH294" s="136"/>
      <c r="AJ294" s="137"/>
      <c r="AK294" s="137"/>
      <c r="AL294" s="137"/>
    </row>
    <row r="295">
      <c r="A295" s="131"/>
      <c r="B295" s="132"/>
      <c r="C295" s="132"/>
      <c r="Q295" s="133"/>
      <c r="Y295" s="134"/>
      <c r="AB295" s="135"/>
      <c r="AE295" s="134"/>
      <c r="AF295" s="132"/>
      <c r="AH295" s="136"/>
      <c r="AJ295" s="137"/>
      <c r="AK295" s="137"/>
      <c r="AL295" s="137"/>
    </row>
    <row r="296">
      <c r="A296" s="131"/>
      <c r="B296" s="132"/>
      <c r="C296" s="132"/>
      <c r="Q296" s="133"/>
      <c r="Y296" s="134"/>
      <c r="AB296" s="135"/>
      <c r="AE296" s="134"/>
      <c r="AF296" s="132"/>
      <c r="AH296" s="136"/>
      <c r="AJ296" s="137"/>
      <c r="AK296" s="137"/>
      <c r="AL296" s="137"/>
    </row>
    <row r="297">
      <c r="A297" s="131"/>
      <c r="B297" s="132"/>
      <c r="C297" s="132"/>
      <c r="Q297" s="133"/>
      <c r="Y297" s="134"/>
      <c r="AB297" s="135"/>
      <c r="AE297" s="134"/>
      <c r="AF297" s="132"/>
      <c r="AH297" s="136"/>
      <c r="AJ297" s="137"/>
      <c r="AK297" s="137"/>
      <c r="AL297" s="137"/>
    </row>
    <row r="298">
      <c r="A298" s="131"/>
      <c r="B298" s="132"/>
      <c r="C298" s="132"/>
      <c r="Q298" s="133"/>
      <c r="Y298" s="134"/>
      <c r="AB298" s="135"/>
      <c r="AE298" s="134"/>
      <c r="AF298" s="132"/>
      <c r="AH298" s="136"/>
      <c r="AJ298" s="137"/>
      <c r="AK298" s="137"/>
      <c r="AL298" s="137"/>
    </row>
    <row r="299">
      <c r="A299" s="131"/>
      <c r="B299" s="132"/>
      <c r="C299" s="132"/>
      <c r="Q299" s="133"/>
      <c r="Y299" s="134"/>
      <c r="AB299" s="135"/>
      <c r="AE299" s="134"/>
      <c r="AF299" s="132"/>
      <c r="AH299" s="136"/>
      <c r="AJ299" s="137"/>
      <c r="AK299" s="137"/>
      <c r="AL299" s="137"/>
    </row>
    <row r="300">
      <c r="A300" s="131"/>
      <c r="B300" s="132"/>
      <c r="C300" s="132"/>
      <c r="Q300" s="133"/>
      <c r="Y300" s="134"/>
      <c r="AB300" s="135"/>
      <c r="AE300" s="134"/>
      <c r="AF300" s="132"/>
      <c r="AH300" s="136"/>
      <c r="AJ300" s="137"/>
      <c r="AK300" s="137"/>
      <c r="AL300" s="137"/>
    </row>
    <row r="301">
      <c r="A301" s="131"/>
      <c r="B301" s="132"/>
      <c r="C301" s="132"/>
      <c r="Q301" s="133"/>
      <c r="Y301" s="134"/>
      <c r="AB301" s="135"/>
      <c r="AE301" s="134"/>
      <c r="AF301" s="132"/>
      <c r="AH301" s="136"/>
      <c r="AJ301" s="137"/>
      <c r="AK301" s="137"/>
      <c r="AL301" s="137"/>
    </row>
    <row r="302">
      <c r="A302" s="131"/>
      <c r="B302" s="132"/>
      <c r="C302" s="132"/>
      <c r="Q302" s="133"/>
      <c r="Y302" s="134"/>
      <c r="AB302" s="135"/>
      <c r="AE302" s="134"/>
      <c r="AF302" s="132"/>
      <c r="AH302" s="136"/>
      <c r="AJ302" s="137"/>
      <c r="AK302" s="137"/>
      <c r="AL302" s="137"/>
    </row>
    <row r="303">
      <c r="A303" s="131"/>
      <c r="B303" s="132"/>
      <c r="C303" s="132"/>
      <c r="Q303" s="133"/>
      <c r="Y303" s="134"/>
      <c r="AB303" s="135"/>
      <c r="AE303" s="134"/>
      <c r="AF303" s="132"/>
      <c r="AH303" s="136"/>
      <c r="AJ303" s="137"/>
      <c r="AK303" s="137"/>
      <c r="AL303" s="137"/>
    </row>
    <row r="304">
      <c r="A304" s="131"/>
      <c r="B304" s="132"/>
      <c r="C304" s="132"/>
      <c r="Q304" s="133"/>
      <c r="Y304" s="134"/>
      <c r="AB304" s="135"/>
      <c r="AE304" s="134"/>
      <c r="AF304" s="132"/>
      <c r="AH304" s="136"/>
      <c r="AJ304" s="137"/>
      <c r="AK304" s="137"/>
      <c r="AL304" s="137"/>
    </row>
    <row r="305">
      <c r="A305" s="131"/>
      <c r="B305" s="132"/>
      <c r="C305" s="132"/>
      <c r="Q305" s="133"/>
      <c r="Y305" s="134"/>
      <c r="AB305" s="135"/>
      <c r="AE305" s="134"/>
      <c r="AF305" s="132"/>
      <c r="AH305" s="136"/>
      <c r="AJ305" s="137"/>
      <c r="AK305" s="137"/>
      <c r="AL305" s="137"/>
    </row>
    <row r="306">
      <c r="A306" s="131"/>
      <c r="B306" s="132"/>
      <c r="C306" s="132"/>
      <c r="Q306" s="133"/>
      <c r="Y306" s="134"/>
      <c r="AB306" s="135"/>
      <c r="AE306" s="134"/>
      <c r="AF306" s="132"/>
      <c r="AH306" s="136"/>
      <c r="AJ306" s="137"/>
      <c r="AK306" s="137"/>
      <c r="AL306" s="137"/>
    </row>
    <row r="307">
      <c r="A307" s="131"/>
      <c r="B307" s="132"/>
      <c r="C307" s="132"/>
      <c r="Q307" s="133"/>
      <c r="Y307" s="134"/>
      <c r="AB307" s="135"/>
      <c r="AE307" s="134"/>
      <c r="AF307" s="132"/>
      <c r="AH307" s="136"/>
      <c r="AJ307" s="137"/>
      <c r="AK307" s="137"/>
      <c r="AL307" s="137"/>
    </row>
    <row r="308">
      <c r="A308" s="131"/>
      <c r="B308" s="132"/>
      <c r="C308" s="132"/>
      <c r="Q308" s="133"/>
      <c r="Y308" s="134"/>
      <c r="AB308" s="135"/>
      <c r="AE308" s="134"/>
      <c r="AF308" s="132"/>
      <c r="AH308" s="136"/>
      <c r="AJ308" s="137"/>
      <c r="AK308" s="137"/>
      <c r="AL308" s="137"/>
    </row>
    <row r="309">
      <c r="A309" s="131"/>
      <c r="B309" s="132"/>
      <c r="C309" s="132"/>
      <c r="Q309" s="133"/>
      <c r="Y309" s="134"/>
      <c r="AB309" s="135"/>
      <c r="AE309" s="134"/>
      <c r="AF309" s="132"/>
      <c r="AH309" s="136"/>
      <c r="AJ309" s="137"/>
      <c r="AK309" s="137"/>
      <c r="AL309" s="137"/>
    </row>
    <row r="310">
      <c r="A310" s="131"/>
      <c r="B310" s="132"/>
      <c r="C310" s="132"/>
      <c r="Q310" s="133"/>
      <c r="Y310" s="134"/>
      <c r="AB310" s="135"/>
      <c r="AE310" s="134"/>
      <c r="AF310" s="132"/>
      <c r="AH310" s="136"/>
      <c r="AJ310" s="137"/>
      <c r="AK310" s="137"/>
      <c r="AL310" s="137"/>
    </row>
    <row r="311">
      <c r="A311" s="131"/>
      <c r="B311" s="132"/>
      <c r="C311" s="132"/>
      <c r="Q311" s="133"/>
      <c r="Y311" s="134"/>
      <c r="AB311" s="135"/>
      <c r="AE311" s="134"/>
      <c r="AF311" s="132"/>
      <c r="AH311" s="136"/>
      <c r="AJ311" s="137"/>
      <c r="AK311" s="137"/>
      <c r="AL311" s="137"/>
    </row>
    <row r="312">
      <c r="A312" s="131"/>
      <c r="B312" s="132"/>
      <c r="C312" s="132"/>
      <c r="Q312" s="133"/>
      <c r="Y312" s="134"/>
      <c r="AB312" s="135"/>
      <c r="AE312" s="134"/>
      <c r="AF312" s="132"/>
      <c r="AH312" s="136"/>
      <c r="AJ312" s="137"/>
      <c r="AK312" s="137"/>
      <c r="AL312" s="137"/>
    </row>
    <row r="313">
      <c r="A313" s="131"/>
      <c r="B313" s="132"/>
      <c r="C313" s="132"/>
      <c r="Q313" s="133"/>
      <c r="Y313" s="134"/>
      <c r="AB313" s="135"/>
      <c r="AE313" s="134"/>
      <c r="AF313" s="132"/>
      <c r="AH313" s="136"/>
      <c r="AJ313" s="137"/>
      <c r="AK313" s="137"/>
      <c r="AL313" s="137"/>
    </row>
    <row r="314">
      <c r="A314" s="131"/>
      <c r="B314" s="132"/>
      <c r="C314" s="132"/>
      <c r="Q314" s="133"/>
      <c r="Y314" s="134"/>
      <c r="AB314" s="135"/>
      <c r="AE314" s="134"/>
      <c r="AF314" s="132"/>
      <c r="AH314" s="136"/>
      <c r="AJ314" s="137"/>
      <c r="AK314" s="137"/>
      <c r="AL314" s="137"/>
    </row>
    <row r="315">
      <c r="A315" s="131"/>
      <c r="B315" s="132"/>
      <c r="C315" s="132"/>
      <c r="Q315" s="133"/>
      <c r="Y315" s="134"/>
      <c r="AB315" s="135"/>
      <c r="AE315" s="134"/>
      <c r="AF315" s="132"/>
      <c r="AH315" s="136"/>
      <c r="AJ315" s="137"/>
      <c r="AK315" s="137"/>
      <c r="AL315" s="137"/>
    </row>
    <row r="316">
      <c r="A316" s="131"/>
      <c r="B316" s="132"/>
      <c r="C316" s="132"/>
      <c r="Q316" s="133"/>
      <c r="Y316" s="134"/>
      <c r="AB316" s="135"/>
      <c r="AE316" s="134"/>
      <c r="AF316" s="132"/>
      <c r="AH316" s="136"/>
      <c r="AJ316" s="137"/>
      <c r="AK316" s="137"/>
      <c r="AL316" s="137"/>
    </row>
    <row r="317">
      <c r="A317" s="131"/>
      <c r="B317" s="132"/>
      <c r="C317" s="132"/>
      <c r="Q317" s="133"/>
      <c r="Y317" s="134"/>
      <c r="AB317" s="135"/>
      <c r="AE317" s="134"/>
      <c r="AF317" s="132"/>
      <c r="AH317" s="136"/>
      <c r="AJ317" s="137"/>
      <c r="AK317" s="137"/>
      <c r="AL317" s="137"/>
    </row>
    <row r="318">
      <c r="A318" s="131"/>
      <c r="B318" s="132"/>
      <c r="C318" s="132"/>
      <c r="Q318" s="133"/>
      <c r="Y318" s="134"/>
      <c r="AB318" s="135"/>
      <c r="AE318" s="134"/>
      <c r="AF318" s="132"/>
      <c r="AH318" s="136"/>
      <c r="AJ318" s="137"/>
      <c r="AK318" s="137"/>
      <c r="AL318" s="137"/>
    </row>
    <row r="319">
      <c r="A319" s="131"/>
      <c r="B319" s="132"/>
      <c r="C319" s="132"/>
      <c r="Q319" s="133"/>
      <c r="Y319" s="134"/>
      <c r="AB319" s="135"/>
      <c r="AE319" s="134"/>
      <c r="AF319" s="132"/>
      <c r="AH319" s="136"/>
      <c r="AJ319" s="137"/>
      <c r="AK319" s="137"/>
      <c r="AL319" s="137"/>
    </row>
    <row r="320">
      <c r="A320" s="131"/>
      <c r="B320" s="132"/>
      <c r="C320" s="132"/>
      <c r="Q320" s="133"/>
      <c r="Y320" s="134"/>
      <c r="AB320" s="135"/>
      <c r="AE320" s="134"/>
      <c r="AF320" s="132"/>
      <c r="AH320" s="136"/>
      <c r="AJ320" s="137"/>
      <c r="AK320" s="137"/>
      <c r="AL320" s="137"/>
    </row>
    <row r="321">
      <c r="A321" s="131"/>
      <c r="B321" s="132"/>
      <c r="C321" s="132"/>
      <c r="Q321" s="133"/>
      <c r="Y321" s="134"/>
      <c r="AB321" s="135"/>
      <c r="AE321" s="134"/>
      <c r="AF321" s="132"/>
      <c r="AH321" s="136"/>
      <c r="AJ321" s="137"/>
      <c r="AK321" s="137"/>
      <c r="AL321" s="137"/>
    </row>
    <row r="322">
      <c r="A322" s="131"/>
      <c r="B322" s="132"/>
      <c r="C322" s="132"/>
      <c r="Q322" s="133"/>
      <c r="Y322" s="134"/>
      <c r="AB322" s="135"/>
      <c r="AE322" s="134"/>
      <c r="AF322" s="132"/>
      <c r="AH322" s="136"/>
      <c r="AJ322" s="137"/>
      <c r="AK322" s="137"/>
      <c r="AL322" s="137"/>
    </row>
    <row r="323">
      <c r="A323" s="131"/>
      <c r="B323" s="132"/>
      <c r="C323" s="132"/>
      <c r="Q323" s="133"/>
      <c r="Y323" s="134"/>
      <c r="AB323" s="135"/>
      <c r="AE323" s="134"/>
      <c r="AF323" s="132"/>
      <c r="AH323" s="136"/>
      <c r="AJ323" s="137"/>
      <c r="AK323" s="137"/>
      <c r="AL323" s="137"/>
    </row>
    <row r="324">
      <c r="A324" s="131"/>
      <c r="B324" s="132"/>
      <c r="C324" s="132"/>
      <c r="Q324" s="133"/>
      <c r="Y324" s="134"/>
      <c r="AB324" s="135"/>
      <c r="AE324" s="134"/>
      <c r="AF324" s="132"/>
      <c r="AH324" s="136"/>
      <c r="AJ324" s="137"/>
      <c r="AK324" s="137"/>
      <c r="AL324" s="137"/>
    </row>
    <row r="325">
      <c r="A325" s="131"/>
      <c r="B325" s="132"/>
      <c r="C325" s="132"/>
      <c r="Q325" s="133"/>
      <c r="Y325" s="134"/>
      <c r="AB325" s="135"/>
      <c r="AE325" s="134"/>
      <c r="AF325" s="132"/>
      <c r="AH325" s="136"/>
      <c r="AJ325" s="137"/>
      <c r="AK325" s="137"/>
      <c r="AL325" s="137"/>
    </row>
    <row r="326">
      <c r="A326" s="131"/>
      <c r="B326" s="132"/>
      <c r="C326" s="132"/>
      <c r="Q326" s="133"/>
      <c r="Y326" s="134"/>
      <c r="AB326" s="135"/>
      <c r="AE326" s="134"/>
      <c r="AF326" s="132"/>
      <c r="AH326" s="136"/>
      <c r="AJ326" s="137"/>
      <c r="AK326" s="137"/>
      <c r="AL326" s="137"/>
    </row>
    <row r="327">
      <c r="A327" s="131"/>
      <c r="B327" s="132"/>
      <c r="C327" s="132"/>
      <c r="Q327" s="133"/>
      <c r="Y327" s="134"/>
      <c r="AB327" s="135"/>
      <c r="AE327" s="134"/>
      <c r="AF327" s="132"/>
      <c r="AH327" s="136"/>
      <c r="AJ327" s="137"/>
      <c r="AK327" s="137"/>
      <c r="AL327" s="137"/>
    </row>
    <row r="328">
      <c r="A328" s="131"/>
      <c r="B328" s="132"/>
      <c r="C328" s="132"/>
      <c r="Q328" s="133"/>
      <c r="Y328" s="134"/>
      <c r="AB328" s="135"/>
      <c r="AE328" s="134"/>
      <c r="AF328" s="132"/>
      <c r="AH328" s="136"/>
      <c r="AJ328" s="137"/>
      <c r="AK328" s="137"/>
      <c r="AL328" s="137"/>
    </row>
    <row r="329">
      <c r="A329" s="131"/>
      <c r="B329" s="132"/>
      <c r="C329" s="132"/>
      <c r="Q329" s="133"/>
      <c r="Y329" s="134"/>
      <c r="AB329" s="135"/>
      <c r="AE329" s="134"/>
      <c r="AF329" s="132"/>
      <c r="AH329" s="136"/>
      <c r="AJ329" s="137"/>
      <c r="AK329" s="137"/>
      <c r="AL329" s="137"/>
    </row>
    <row r="330">
      <c r="A330" s="131"/>
      <c r="B330" s="132"/>
      <c r="C330" s="132"/>
      <c r="Q330" s="133"/>
      <c r="Y330" s="134"/>
      <c r="AB330" s="135"/>
      <c r="AE330" s="134"/>
      <c r="AF330" s="132"/>
      <c r="AH330" s="136"/>
      <c r="AJ330" s="137"/>
      <c r="AK330" s="137"/>
      <c r="AL330" s="137"/>
    </row>
    <row r="331">
      <c r="A331" s="131"/>
      <c r="B331" s="132"/>
      <c r="C331" s="132"/>
      <c r="Q331" s="133"/>
      <c r="Y331" s="134"/>
      <c r="AB331" s="135"/>
      <c r="AE331" s="134"/>
      <c r="AF331" s="132"/>
      <c r="AH331" s="136"/>
      <c r="AJ331" s="137"/>
      <c r="AK331" s="137"/>
      <c r="AL331" s="137"/>
    </row>
    <row r="332">
      <c r="A332" s="131"/>
      <c r="B332" s="132"/>
      <c r="C332" s="132"/>
      <c r="Q332" s="133"/>
      <c r="Y332" s="134"/>
      <c r="AB332" s="135"/>
      <c r="AE332" s="134"/>
      <c r="AF332" s="132"/>
      <c r="AH332" s="136"/>
      <c r="AJ332" s="137"/>
      <c r="AK332" s="137"/>
      <c r="AL332" s="137"/>
    </row>
    <row r="333">
      <c r="A333" s="131"/>
      <c r="B333" s="132"/>
      <c r="C333" s="132"/>
      <c r="Q333" s="133"/>
      <c r="Y333" s="134"/>
      <c r="AB333" s="135"/>
      <c r="AE333" s="134"/>
      <c r="AF333" s="132"/>
      <c r="AH333" s="136"/>
      <c r="AJ333" s="137"/>
      <c r="AK333" s="137"/>
      <c r="AL333" s="137"/>
    </row>
    <row r="334">
      <c r="A334" s="131"/>
      <c r="B334" s="132"/>
      <c r="C334" s="132"/>
      <c r="Q334" s="133"/>
      <c r="Y334" s="134"/>
      <c r="AB334" s="135"/>
      <c r="AE334" s="134"/>
      <c r="AF334" s="132"/>
      <c r="AH334" s="136"/>
      <c r="AJ334" s="137"/>
      <c r="AK334" s="137"/>
      <c r="AL334" s="137"/>
    </row>
    <row r="335">
      <c r="A335" s="131"/>
      <c r="B335" s="132"/>
      <c r="C335" s="132"/>
      <c r="Q335" s="133"/>
      <c r="Y335" s="134"/>
      <c r="AB335" s="135"/>
      <c r="AE335" s="134"/>
      <c r="AF335" s="132"/>
      <c r="AH335" s="136"/>
      <c r="AJ335" s="137"/>
      <c r="AK335" s="137"/>
      <c r="AL335" s="137"/>
    </row>
    <row r="336">
      <c r="A336" s="131"/>
      <c r="B336" s="132"/>
      <c r="C336" s="132"/>
      <c r="Q336" s="133"/>
      <c r="Y336" s="134"/>
      <c r="AB336" s="135"/>
      <c r="AE336" s="134"/>
      <c r="AF336" s="132"/>
      <c r="AH336" s="136"/>
      <c r="AJ336" s="137"/>
      <c r="AK336" s="137"/>
      <c r="AL336" s="137"/>
    </row>
    <row r="337">
      <c r="A337" s="131"/>
      <c r="B337" s="132"/>
      <c r="C337" s="132"/>
      <c r="Q337" s="133"/>
      <c r="Y337" s="134"/>
      <c r="AB337" s="135"/>
      <c r="AE337" s="134"/>
      <c r="AF337" s="132"/>
      <c r="AH337" s="136"/>
      <c r="AJ337" s="137"/>
      <c r="AK337" s="137"/>
      <c r="AL337" s="137"/>
    </row>
    <row r="338">
      <c r="A338" s="131"/>
      <c r="B338" s="132"/>
      <c r="C338" s="132"/>
      <c r="Q338" s="133"/>
      <c r="Y338" s="134"/>
      <c r="AB338" s="135"/>
      <c r="AE338" s="134"/>
      <c r="AF338" s="132"/>
      <c r="AH338" s="136"/>
      <c r="AJ338" s="137"/>
      <c r="AK338" s="137"/>
      <c r="AL338" s="137"/>
    </row>
    <row r="339">
      <c r="A339" s="131"/>
      <c r="B339" s="132"/>
      <c r="C339" s="132"/>
      <c r="Q339" s="133"/>
      <c r="Y339" s="134"/>
      <c r="AB339" s="135"/>
      <c r="AE339" s="134"/>
      <c r="AF339" s="132"/>
      <c r="AH339" s="136"/>
      <c r="AJ339" s="137"/>
      <c r="AK339" s="137"/>
      <c r="AL339" s="137"/>
    </row>
    <row r="340">
      <c r="A340" s="131"/>
      <c r="B340" s="132"/>
      <c r="C340" s="132"/>
      <c r="Q340" s="133"/>
      <c r="Y340" s="134"/>
      <c r="AB340" s="135"/>
      <c r="AE340" s="134"/>
      <c r="AF340" s="132"/>
      <c r="AH340" s="136"/>
      <c r="AJ340" s="137"/>
      <c r="AK340" s="137"/>
      <c r="AL340" s="137"/>
    </row>
    <row r="341">
      <c r="A341" s="131"/>
      <c r="B341" s="132"/>
      <c r="C341" s="132"/>
      <c r="Q341" s="133"/>
      <c r="Y341" s="134"/>
      <c r="AB341" s="135"/>
      <c r="AE341" s="134"/>
      <c r="AF341" s="132"/>
      <c r="AH341" s="136"/>
      <c r="AJ341" s="137"/>
      <c r="AK341" s="137"/>
      <c r="AL341" s="137"/>
    </row>
    <row r="342">
      <c r="A342" s="131"/>
      <c r="B342" s="132"/>
      <c r="C342" s="132"/>
      <c r="Q342" s="133"/>
      <c r="Y342" s="134"/>
      <c r="AB342" s="135"/>
      <c r="AE342" s="134"/>
      <c r="AF342" s="132"/>
      <c r="AH342" s="136"/>
      <c r="AJ342" s="137"/>
      <c r="AK342" s="137"/>
      <c r="AL342" s="137"/>
    </row>
    <row r="343">
      <c r="A343" s="131"/>
      <c r="B343" s="132"/>
      <c r="C343" s="132"/>
      <c r="Q343" s="133"/>
      <c r="Y343" s="134"/>
      <c r="AB343" s="135"/>
      <c r="AE343" s="134"/>
      <c r="AF343" s="132"/>
      <c r="AH343" s="136"/>
      <c r="AJ343" s="137"/>
      <c r="AK343" s="137"/>
      <c r="AL343" s="137"/>
    </row>
    <row r="344">
      <c r="A344" s="131"/>
      <c r="B344" s="132"/>
      <c r="C344" s="132"/>
      <c r="Q344" s="133"/>
      <c r="Y344" s="134"/>
      <c r="AB344" s="135"/>
      <c r="AE344" s="134"/>
      <c r="AF344" s="132"/>
      <c r="AH344" s="136"/>
      <c r="AJ344" s="137"/>
      <c r="AK344" s="137"/>
      <c r="AL344" s="137"/>
    </row>
    <row r="345">
      <c r="A345" s="131"/>
      <c r="B345" s="132"/>
      <c r="C345" s="132"/>
      <c r="Q345" s="133"/>
      <c r="Y345" s="134"/>
      <c r="AB345" s="135"/>
      <c r="AE345" s="134"/>
      <c r="AF345" s="132"/>
      <c r="AH345" s="136"/>
      <c r="AJ345" s="137"/>
      <c r="AK345" s="137"/>
      <c r="AL345" s="137"/>
    </row>
    <row r="346">
      <c r="A346" s="131"/>
      <c r="B346" s="132"/>
      <c r="C346" s="132"/>
      <c r="Q346" s="133"/>
      <c r="Y346" s="134"/>
      <c r="AB346" s="135"/>
      <c r="AE346" s="134"/>
      <c r="AF346" s="132"/>
      <c r="AH346" s="136"/>
      <c r="AJ346" s="137"/>
      <c r="AK346" s="137"/>
      <c r="AL346" s="137"/>
    </row>
    <row r="347">
      <c r="A347" s="131"/>
      <c r="B347" s="132"/>
      <c r="C347" s="132"/>
      <c r="Q347" s="133"/>
      <c r="Y347" s="134"/>
      <c r="AB347" s="135"/>
      <c r="AE347" s="134"/>
      <c r="AF347" s="132"/>
      <c r="AH347" s="136"/>
      <c r="AJ347" s="137"/>
      <c r="AK347" s="137"/>
      <c r="AL347" s="137"/>
    </row>
    <row r="348">
      <c r="A348" s="131"/>
      <c r="B348" s="132"/>
      <c r="C348" s="132"/>
      <c r="Q348" s="133"/>
      <c r="Y348" s="134"/>
      <c r="AB348" s="135"/>
      <c r="AE348" s="134"/>
      <c r="AF348" s="132"/>
      <c r="AH348" s="136"/>
      <c r="AJ348" s="137"/>
      <c r="AK348" s="137"/>
      <c r="AL348" s="137"/>
    </row>
    <row r="349">
      <c r="A349" s="131"/>
      <c r="B349" s="132"/>
      <c r="C349" s="132"/>
      <c r="Q349" s="133"/>
      <c r="Y349" s="134"/>
      <c r="AB349" s="135"/>
      <c r="AE349" s="134"/>
      <c r="AF349" s="132"/>
      <c r="AH349" s="136"/>
      <c r="AJ349" s="137"/>
      <c r="AK349" s="137"/>
      <c r="AL349" s="137"/>
    </row>
    <row r="350">
      <c r="A350" s="131"/>
      <c r="B350" s="132"/>
      <c r="C350" s="132"/>
      <c r="Q350" s="133"/>
      <c r="Y350" s="134"/>
      <c r="AB350" s="135"/>
      <c r="AE350" s="134"/>
      <c r="AF350" s="132"/>
      <c r="AH350" s="136"/>
      <c r="AJ350" s="137"/>
      <c r="AK350" s="137"/>
      <c r="AL350" s="137"/>
    </row>
    <row r="351">
      <c r="A351" s="131"/>
      <c r="B351" s="132"/>
      <c r="C351" s="132"/>
      <c r="Q351" s="133"/>
      <c r="Y351" s="134"/>
      <c r="AB351" s="135"/>
      <c r="AE351" s="134"/>
      <c r="AF351" s="132"/>
      <c r="AH351" s="136"/>
      <c r="AJ351" s="137"/>
      <c r="AK351" s="137"/>
      <c r="AL351" s="137"/>
    </row>
    <row r="352">
      <c r="A352" s="131"/>
      <c r="B352" s="132"/>
      <c r="C352" s="132"/>
      <c r="Q352" s="133"/>
      <c r="Y352" s="134"/>
      <c r="AB352" s="135"/>
      <c r="AE352" s="134"/>
      <c r="AF352" s="132"/>
      <c r="AH352" s="136"/>
      <c r="AJ352" s="137"/>
      <c r="AK352" s="137"/>
      <c r="AL352" s="137"/>
    </row>
    <row r="353">
      <c r="A353" s="131"/>
      <c r="B353" s="132"/>
      <c r="C353" s="132"/>
      <c r="Q353" s="133"/>
      <c r="Y353" s="134"/>
      <c r="AB353" s="135"/>
      <c r="AE353" s="134"/>
      <c r="AF353" s="132"/>
      <c r="AH353" s="136"/>
      <c r="AJ353" s="137"/>
      <c r="AK353" s="137"/>
      <c r="AL353" s="137"/>
    </row>
    <row r="354">
      <c r="A354" s="131"/>
      <c r="B354" s="132"/>
      <c r="C354" s="132"/>
      <c r="Q354" s="133"/>
      <c r="Y354" s="134"/>
      <c r="AB354" s="135"/>
      <c r="AE354" s="134"/>
      <c r="AF354" s="132"/>
      <c r="AH354" s="136"/>
      <c r="AJ354" s="137"/>
      <c r="AK354" s="137"/>
      <c r="AL354" s="137"/>
    </row>
    <row r="355">
      <c r="A355" s="131"/>
      <c r="B355" s="132"/>
      <c r="C355" s="132"/>
      <c r="Q355" s="133"/>
      <c r="Y355" s="134"/>
      <c r="AB355" s="135"/>
      <c r="AE355" s="134"/>
      <c r="AF355" s="132"/>
      <c r="AH355" s="136"/>
      <c r="AJ355" s="137"/>
      <c r="AK355" s="137"/>
      <c r="AL355" s="137"/>
    </row>
    <row r="356">
      <c r="A356" s="131"/>
      <c r="B356" s="132"/>
      <c r="C356" s="132"/>
      <c r="Q356" s="133"/>
      <c r="Y356" s="134"/>
      <c r="AB356" s="135"/>
      <c r="AE356" s="134"/>
      <c r="AF356" s="132"/>
      <c r="AH356" s="136"/>
      <c r="AJ356" s="137"/>
      <c r="AK356" s="137"/>
      <c r="AL356" s="137"/>
    </row>
    <row r="357">
      <c r="A357" s="131"/>
      <c r="B357" s="132"/>
      <c r="C357" s="132"/>
      <c r="Q357" s="133"/>
      <c r="Y357" s="134"/>
      <c r="AB357" s="135"/>
      <c r="AE357" s="134"/>
      <c r="AF357" s="132"/>
      <c r="AH357" s="136"/>
      <c r="AJ357" s="137"/>
      <c r="AK357" s="137"/>
      <c r="AL357" s="137"/>
    </row>
    <row r="358">
      <c r="A358" s="131"/>
      <c r="B358" s="132"/>
      <c r="C358" s="132"/>
      <c r="Q358" s="133"/>
      <c r="Y358" s="134"/>
      <c r="AB358" s="135"/>
      <c r="AE358" s="134"/>
      <c r="AF358" s="132"/>
      <c r="AH358" s="136"/>
      <c r="AJ358" s="137"/>
      <c r="AK358" s="137"/>
      <c r="AL358" s="137"/>
    </row>
    <row r="359">
      <c r="A359" s="131"/>
      <c r="B359" s="132"/>
      <c r="C359" s="132"/>
      <c r="Q359" s="133"/>
      <c r="Y359" s="134"/>
      <c r="AB359" s="135"/>
      <c r="AE359" s="134"/>
      <c r="AF359" s="132"/>
      <c r="AH359" s="136"/>
      <c r="AJ359" s="137"/>
      <c r="AK359" s="137"/>
      <c r="AL359" s="137"/>
    </row>
    <row r="360">
      <c r="A360" s="131"/>
      <c r="B360" s="132"/>
      <c r="C360" s="132"/>
      <c r="Q360" s="133"/>
      <c r="Y360" s="134"/>
      <c r="AB360" s="135"/>
      <c r="AE360" s="134"/>
      <c r="AF360" s="132"/>
      <c r="AH360" s="136"/>
      <c r="AJ360" s="137"/>
      <c r="AK360" s="137"/>
      <c r="AL360" s="137"/>
    </row>
    <row r="361">
      <c r="A361" s="131"/>
      <c r="B361" s="132"/>
      <c r="C361" s="132"/>
      <c r="Q361" s="133"/>
      <c r="Y361" s="134"/>
      <c r="AB361" s="135"/>
      <c r="AE361" s="134"/>
      <c r="AF361" s="132"/>
      <c r="AH361" s="136"/>
      <c r="AJ361" s="137"/>
      <c r="AK361" s="137"/>
      <c r="AL361" s="137"/>
    </row>
    <row r="362">
      <c r="A362" s="131"/>
      <c r="B362" s="132"/>
      <c r="C362" s="132"/>
      <c r="Q362" s="133"/>
      <c r="Y362" s="134"/>
      <c r="AB362" s="135"/>
      <c r="AE362" s="134"/>
      <c r="AF362" s="132"/>
      <c r="AH362" s="136"/>
      <c r="AJ362" s="137"/>
      <c r="AK362" s="137"/>
      <c r="AL362" s="137"/>
    </row>
    <row r="363">
      <c r="A363" s="131"/>
      <c r="B363" s="132"/>
      <c r="C363" s="132"/>
      <c r="Q363" s="133"/>
      <c r="Y363" s="134"/>
      <c r="AB363" s="135"/>
      <c r="AE363" s="134"/>
      <c r="AF363" s="132"/>
      <c r="AH363" s="136"/>
      <c r="AJ363" s="137"/>
      <c r="AK363" s="137"/>
      <c r="AL363" s="137"/>
    </row>
    <row r="364">
      <c r="A364" s="131"/>
      <c r="B364" s="132"/>
      <c r="C364" s="132"/>
      <c r="Q364" s="133"/>
      <c r="Y364" s="134"/>
      <c r="AB364" s="135"/>
      <c r="AE364" s="134"/>
      <c r="AF364" s="132"/>
      <c r="AH364" s="136"/>
      <c r="AJ364" s="137"/>
      <c r="AK364" s="137"/>
      <c r="AL364" s="137"/>
    </row>
    <row r="365">
      <c r="A365" s="131"/>
      <c r="B365" s="132"/>
      <c r="C365" s="132"/>
      <c r="Q365" s="133"/>
      <c r="Y365" s="134"/>
      <c r="AB365" s="135"/>
      <c r="AE365" s="134"/>
      <c r="AF365" s="132"/>
      <c r="AH365" s="136"/>
      <c r="AJ365" s="137"/>
      <c r="AK365" s="137"/>
      <c r="AL365" s="137"/>
    </row>
    <row r="366">
      <c r="A366" s="131"/>
      <c r="B366" s="132"/>
      <c r="C366" s="132"/>
      <c r="Q366" s="133"/>
      <c r="Y366" s="134"/>
      <c r="AB366" s="135"/>
      <c r="AE366" s="134"/>
      <c r="AF366" s="132"/>
      <c r="AH366" s="136"/>
      <c r="AJ366" s="137"/>
      <c r="AK366" s="137"/>
      <c r="AL366" s="137"/>
    </row>
    <row r="367">
      <c r="A367" s="131"/>
      <c r="B367" s="132"/>
      <c r="C367" s="132"/>
      <c r="Q367" s="133"/>
      <c r="Y367" s="134"/>
      <c r="AB367" s="135"/>
      <c r="AE367" s="134"/>
      <c r="AF367" s="132"/>
      <c r="AH367" s="136"/>
      <c r="AJ367" s="137"/>
      <c r="AK367" s="137"/>
      <c r="AL367" s="137"/>
    </row>
    <row r="368">
      <c r="A368" s="131"/>
      <c r="B368" s="132"/>
      <c r="C368" s="132"/>
      <c r="Q368" s="133"/>
      <c r="Y368" s="134"/>
      <c r="AB368" s="135"/>
      <c r="AE368" s="134"/>
      <c r="AF368" s="132"/>
      <c r="AH368" s="136"/>
      <c r="AJ368" s="137"/>
      <c r="AK368" s="137"/>
      <c r="AL368" s="137"/>
    </row>
    <row r="369">
      <c r="A369" s="131"/>
      <c r="B369" s="132"/>
      <c r="C369" s="132"/>
      <c r="Q369" s="133"/>
      <c r="Y369" s="134"/>
      <c r="AB369" s="135"/>
      <c r="AE369" s="134"/>
      <c r="AF369" s="132"/>
      <c r="AH369" s="136"/>
      <c r="AJ369" s="137"/>
      <c r="AK369" s="137"/>
      <c r="AL369" s="137"/>
    </row>
    <row r="370">
      <c r="A370" s="131"/>
      <c r="B370" s="132"/>
      <c r="C370" s="132"/>
      <c r="Q370" s="133"/>
      <c r="Y370" s="134"/>
      <c r="AB370" s="135"/>
      <c r="AE370" s="134"/>
      <c r="AF370" s="132"/>
      <c r="AH370" s="136"/>
      <c r="AJ370" s="137"/>
      <c r="AK370" s="137"/>
      <c r="AL370" s="137"/>
    </row>
    <row r="371">
      <c r="A371" s="131"/>
      <c r="B371" s="132"/>
      <c r="C371" s="132"/>
      <c r="Q371" s="133"/>
      <c r="Y371" s="134"/>
      <c r="AB371" s="135"/>
      <c r="AE371" s="134"/>
      <c r="AF371" s="132"/>
      <c r="AH371" s="136"/>
      <c r="AJ371" s="137"/>
      <c r="AK371" s="137"/>
      <c r="AL371" s="137"/>
    </row>
    <row r="372">
      <c r="A372" s="131"/>
      <c r="B372" s="132"/>
      <c r="C372" s="132"/>
      <c r="Q372" s="133"/>
      <c r="Y372" s="134"/>
      <c r="AB372" s="135"/>
      <c r="AE372" s="134"/>
      <c r="AF372" s="132"/>
      <c r="AH372" s="136"/>
      <c r="AJ372" s="137"/>
      <c r="AK372" s="137"/>
      <c r="AL372" s="137"/>
    </row>
    <row r="373">
      <c r="A373" s="131"/>
      <c r="B373" s="132"/>
      <c r="C373" s="132"/>
      <c r="Q373" s="133"/>
      <c r="Y373" s="134"/>
      <c r="AB373" s="135"/>
      <c r="AE373" s="134"/>
      <c r="AF373" s="132"/>
      <c r="AH373" s="136"/>
      <c r="AJ373" s="137"/>
      <c r="AK373" s="137"/>
      <c r="AL373" s="137"/>
    </row>
    <row r="374">
      <c r="A374" s="131"/>
      <c r="B374" s="132"/>
      <c r="C374" s="132"/>
      <c r="Q374" s="133"/>
      <c r="Y374" s="134"/>
      <c r="AB374" s="135"/>
      <c r="AE374" s="134"/>
      <c r="AF374" s="132"/>
      <c r="AH374" s="136"/>
      <c r="AJ374" s="137"/>
      <c r="AK374" s="137"/>
      <c r="AL374" s="137"/>
    </row>
    <row r="375">
      <c r="A375" s="131"/>
      <c r="B375" s="132"/>
      <c r="C375" s="132"/>
      <c r="Q375" s="133"/>
      <c r="Y375" s="134"/>
      <c r="AB375" s="135"/>
      <c r="AE375" s="134"/>
      <c r="AF375" s="132"/>
      <c r="AH375" s="136"/>
      <c r="AJ375" s="137"/>
      <c r="AK375" s="137"/>
      <c r="AL375" s="137"/>
    </row>
    <row r="376">
      <c r="A376" s="131"/>
      <c r="B376" s="132"/>
      <c r="C376" s="132"/>
      <c r="Q376" s="133"/>
      <c r="Y376" s="134"/>
      <c r="AB376" s="135"/>
      <c r="AE376" s="134"/>
      <c r="AF376" s="132"/>
      <c r="AH376" s="136"/>
      <c r="AJ376" s="137"/>
      <c r="AK376" s="137"/>
      <c r="AL376" s="137"/>
    </row>
    <row r="377">
      <c r="A377" s="131"/>
      <c r="B377" s="132"/>
      <c r="C377" s="132"/>
      <c r="Q377" s="133"/>
      <c r="Y377" s="134"/>
      <c r="AB377" s="135"/>
      <c r="AE377" s="134"/>
      <c r="AF377" s="132"/>
      <c r="AH377" s="136"/>
      <c r="AJ377" s="137"/>
      <c r="AK377" s="137"/>
      <c r="AL377" s="137"/>
    </row>
    <row r="378">
      <c r="A378" s="131"/>
      <c r="B378" s="132"/>
      <c r="C378" s="132"/>
      <c r="Q378" s="133"/>
      <c r="Y378" s="134"/>
      <c r="AB378" s="135"/>
      <c r="AE378" s="134"/>
      <c r="AF378" s="132"/>
      <c r="AH378" s="136"/>
      <c r="AJ378" s="137"/>
      <c r="AK378" s="137"/>
      <c r="AL378" s="137"/>
    </row>
    <row r="379">
      <c r="A379" s="131"/>
      <c r="B379" s="132"/>
      <c r="C379" s="132"/>
      <c r="Q379" s="133"/>
      <c r="Y379" s="134"/>
      <c r="AB379" s="135"/>
      <c r="AE379" s="134"/>
      <c r="AF379" s="132"/>
      <c r="AH379" s="136"/>
      <c r="AJ379" s="137"/>
      <c r="AK379" s="137"/>
      <c r="AL379" s="137"/>
    </row>
    <row r="380">
      <c r="A380" s="131"/>
      <c r="B380" s="132"/>
      <c r="C380" s="132"/>
      <c r="Q380" s="133"/>
      <c r="Y380" s="134"/>
      <c r="AB380" s="135"/>
      <c r="AE380" s="134"/>
      <c r="AF380" s="132"/>
      <c r="AH380" s="136"/>
      <c r="AJ380" s="137"/>
      <c r="AK380" s="137"/>
      <c r="AL380" s="137"/>
    </row>
    <row r="381">
      <c r="A381" s="131"/>
      <c r="B381" s="132"/>
      <c r="C381" s="132"/>
      <c r="Q381" s="133"/>
      <c r="Y381" s="134"/>
      <c r="AB381" s="135"/>
      <c r="AE381" s="134"/>
      <c r="AF381" s="132"/>
      <c r="AH381" s="136"/>
      <c r="AJ381" s="137"/>
      <c r="AK381" s="137"/>
      <c r="AL381" s="137"/>
    </row>
    <row r="382">
      <c r="A382" s="131"/>
      <c r="B382" s="132"/>
      <c r="C382" s="132"/>
      <c r="Q382" s="133"/>
      <c r="Y382" s="134"/>
      <c r="AB382" s="135"/>
      <c r="AE382" s="134"/>
      <c r="AF382" s="132"/>
      <c r="AH382" s="136"/>
      <c r="AJ382" s="137"/>
      <c r="AK382" s="137"/>
      <c r="AL382" s="137"/>
    </row>
    <row r="383">
      <c r="A383" s="131"/>
      <c r="B383" s="132"/>
      <c r="C383" s="132"/>
      <c r="Q383" s="133"/>
      <c r="Y383" s="134"/>
      <c r="AB383" s="135"/>
      <c r="AE383" s="134"/>
      <c r="AF383" s="132"/>
      <c r="AH383" s="136"/>
      <c r="AJ383" s="137"/>
      <c r="AK383" s="137"/>
      <c r="AL383" s="137"/>
    </row>
    <row r="384">
      <c r="A384" s="131"/>
      <c r="B384" s="132"/>
      <c r="C384" s="132"/>
      <c r="Q384" s="133"/>
      <c r="Y384" s="134"/>
      <c r="AB384" s="135"/>
      <c r="AE384" s="134"/>
      <c r="AF384" s="132"/>
      <c r="AH384" s="136"/>
      <c r="AJ384" s="137"/>
      <c r="AK384" s="137"/>
      <c r="AL384" s="137"/>
    </row>
    <row r="385">
      <c r="A385" s="131"/>
      <c r="B385" s="132"/>
      <c r="C385" s="132"/>
      <c r="Q385" s="133"/>
      <c r="Y385" s="134"/>
      <c r="AB385" s="135"/>
      <c r="AE385" s="134"/>
      <c r="AF385" s="132"/>
      <c r="AH385" s="136"/>
      <c r="AJ385" s="137"/>
      <c r="AK385" s="137"/>
      <c r="AL385" s="137"/>
    </row>
    <row r="386">
      <c r="A386" s="131"/>
      <c r="B386" s="132"/>
      <c r="C386" s="132"/>
      <c r="Q386" s="133"/>
      <c r="Y386" s="134"/>
      <c r="AB386" s="135"/>
      <c r="AE386" s="134"/>
      <c r="AF386" s="132"/>
      <c r="AH386" s="136"/>
      <c r="AJ386" s="137"/>
      <c r="AK386" s="137"/>
      <c r="AL386" s="137"/>
    </row>
    <row r="387">
      <c r="A387" s="131"/>
      <c r="B387" s="132"/>
      <c r="C387" s="132"/>
      <c r="Q387" s="133"/>
      <c r="Y387" s="134"/>
      <c r="AB387" s="135"/>
      <c r="AE387" s="134"/>
      <c r="AF387" s="132"/>
      <c r="AH387" s="136"/>
      <c r="AJ387" s="137"/>
      <c r="AK387" s="137"/>
      <c r="AL387" s="137"/>
    </row>
    <row r="388">
      <c r="A388" s="131"/>
      <c r="B388" s="132"/>
      <c r="C388" s="132"/>
      <c r="Q388" s="133"/>
      <c r="Y388" s="134"/>
      <c r="AB388" s="135"/>
      <c r="AE388" s="134"/>
      <c r="AF388" s="132"/>
      <c r="AH388" s="136"/>
      <c r="AJ388" s="137"/>
      <c r="AK388" s="137"/>
      <c r="AL388" s="137"/>
    </row>
    <row r="389">
      <c r="A389" s="131"/>
      <c r="B389" s="132"/>
      <c r="C389" s="132"/>
      <c r="Q389" s="133"/>
      <c r="Y389" s="134"/>
      <c r="AB389" s="135"/>
      <c r="AE389" s="134"/>
      <c r="AF389" s="132"/>
      <c r="AH389" s="136"/>
      <c r="AJ389" s="137"/>
      <c r="AK389" s="137"/>
      <c r="AL389" s="137"/>
    </row>
    <row r="390">
      <c r="A390" s="131"/>
      <c r="B390" s="132"/>
      <c r="C390" s="132"/>
      <c r="Q390" s="133"/>
      <c r="Y390" s="134"/>
      <c r="AB390" s="135"/>
      <c r="AE390" s="134"/>
      <c r="AF390" s="132"/>
      <c r="AH390" s="136"/>
      <c r="AJ390" s="137"/>
      <c r="AK390" s="137"/>
      <c r="AL390" s="137"/>
    </row>
    <row r="391">
      <c r="A391" s="131"/>
      <c r="B391" s="132"/>
      <c r="C391" s="132"/>
      <c r="Q391" s="133"/>
      <c r="Y391" s="134"/>
      <c r="AB391" s="135"/>
      <c r="AE391" s="134"/>
      <c r="AF391" s="132"/>
      <c r="AH391" s="136"/>
      <c r="AJ391" s="137"/>
      <c r="AK391" s="137"/>
      <c r="AL391" s="137"/>
    </row>
    <row r="392">
      <c r="A392" s="131"/>
      <c r="B392" s="132"/>
      <c r="C392" s="132"/>
      <c r="Q392" s="133"/>
      <c r="Y392" s="134"/>
      <c r="AB392" s="135"/>
      <c r="AE392" s="134"/>
      <c r="AF392" s="132"/>
      <c r="AH392" s="136"/>
      <c r="AJ392" s="137"/>
      <c r="AK392" s="137"/>
      <c r="AL392" s="137"/>
    </row>
    <row r="393">
      <c r="A393" s="131"/>
      <c r="B393" s="132"/>
      <c r="C393" s="132"/>
      <c r="Q393" s="133"/>
      <c r="Y393" s="134"/>
      <c r="AB393" s="135"/>
      <c r="AE393" s="134"/>
      <c r="AF393" s="132"/>
      <c r="AH393" s="136"/>
      <c r="AJ393" s="137"/>
      <c r="AK393" s="137"/>
      <c r="AL393" s="137"/>
    </row>
    <row r="394">
      <c r="A394" s="131"/>
      <c r="B394" s="132"/>
      <c r="C394" s="132"/>
      <c r="Q394" s="133"/>
      <c r="Y394" s="134"/>
      <c r="AB394" s="135"/>
      <c r="AE394" s="134"/>
      <c r="AF394" s="132"/>
      <c r="AH394" s="136"/>
      <c r="AJ394" s="137"/>
      <c r="AK394" s="137"/>
      <c r="AL394" s="137"/>
    </row>
    <row r="395">
      <c r="A395" s="131"/>
      <c r="B395" s="132"/>
      <c r="C395" s="132"/>
      <c r="Q395" s="133"/>
      <c r="Y395" s="134"/>
      <c r="AB395" s="135"/>
      <c r="AE395" s="134"/>
      <c r="AF395" s="132"/>
      <c r="AH395" s="136"/>
      <c r="AJ395" s="137"/>
      <c r="AK395" s="137"/>
      <c r="AL395" s="137"/>
    </row>
    <row r="396">
      <c r="A396" s="131"/>
      <c r="B396" s="132"/>
      <c r="C396" s="132"/>
      <c r="Q396" s="133"/>
      <c r="Y396" s="134"/>
      <c r="AB396" s="135"/>
      <c r="AE396" s="134"/>
      <c r="AF396" s="132"/>
      <c r="AH396" s="136"/>
      <c r="AJ396" s="137"/>
      <c r="AK396" s="137"/>
      <c r="AL396" s="137"/>
    </row>
    <row r="397">
      <c r="A397" s="131"/>
      <c r="B397" s="132"/>
      <c r="C397" s="132"/>
      <c r="Q397" s="133"/>
      <c r="Y397" s="134"/>
      <c r="AB397" s="135"/>
      <c r="AE397" s="134"/>
      <c r="AF397" s="132"/>
      <c r="AH397" s="136"/>
      <c r="AJ397" s="137"/>
      <c r="AK397" s="137"/>
      <c r="AL397" s="137"/>
    </row>
    <row r="398">
      <c r="A398" s="131"/>
      <c r="B398" s="132"/>
      <c r="C398" s="132"/>
      <c r="Q398" s="133"/>
      <c r="Y398" s="134"/>
      <c r="AB398" s="135"/>
      <c r="AE398" s="134"/>
      <c r="AF398" s="132"/>
      <c r="AH398" s="136"/>
      <c r="AJ398" s="137"/>
      <c r="AK398" s="137"/>
      <c r="AL398" s="137"/>
    </row>
    <row r="399">
      <c r="A399" s="131"/>
      <c r="B399" s="132"/>
      <c r="C399" s="132"/>
      <c r="Q399" s="133"/>
      <c r="Y399" s="134"/>
      <c r="AB399" s="135"/>
      <c r="AE399" s="134"/>
      <c r="AF399" s="132"/>
      <c r="AH399" s="136"/>
      <c r="AJ399" s="137"/>
      <c r="AK399" s="137"/>
      <c r="AL399" s="137"/>
    </row>
    <row r="400">
      <c r="A400" s="131"/>
      <c r="B400" s="132"/>
      <c r="C400" s="132"/>
      <c r="Q400" s="133"/>
      <c r="Y400" s="134"/>
      <c r="AB400" s="135"/>
      <c r="AE400" s="134"/>
      <c r="AF400" s="132"/>
      <c r="AH400" s="136"/>
      <c r="AJ400" s="137"/>
      <c r="AK400" s="137"/>
      <c r="AL400" s="137"/>
    </row>
    <row r="401">
      <c r="A401" s="131"/>
      <c r="B401" s="132"/>
      <c r="C401" s="132"/>
      <c r="Q401" s="133"/>
      <c r="Y401" s="134"/>
      <c r="AB401" s="135"/>
      <c r="AE401" s="134"/>
      <c r="AF401" s="132"/>
      <c r="AH401" s="136"/>
      <c r="AJ401" s="137"/>
      <c r="AK401" s="137"/>
      <c r="AL401" s="137"/>
    </row>
    <row r="402">
      <c r="A402" s="131"/>
      <c r="B402" s="132"/>
      <c r="C402" s="132"/>
      <c r="Q402" s="133"/>
      <c r="Y402" s="134"/>
      <c r="AB402" s="135"/>
      <c r="AE402" s="134"/>
      <c r="AF402" s="132"/>
      <c r="AH402" s="136"/>
      <c r="AJ402" s="137"/>
      <c r="AK402" s="137"/>
      <c r="AL402" s="137"/>
    </row>
    <row r="403">
      <c r="A403" s="131"/>
      <c r="B403" s="132"/>
      <c r="C403" s="132"/>
      <c r="Q403" s="133"/>
      <c r="Y403" s="134"/>
      <c r="AB403" s="135"/>
      <c r="AE403" s="134"/>
      <c r="AF403" s="132"/>
      <c r="AH403" s="136"/>
      <c r="AJ403" s="137"/>
      <c r="AK403" s="137"/>
      <c r="AL403" s="137"/>
    </row>
    <row r="404">
      <c r="A404" s="131"/>
      <c r="B404" s="132"/>
      <c r="C404" s="132"/>
      <c r="Q404" s="133"/>
      <c r="Y404" s="134"/>
      <c r="AB404" s="135"/>
      <c r="AE404" s="134"/>
      <c r="AF404" s="132"/>
      <c r="AH404" s="136"/>
      <c r="AJ404" s="137"/>
      <c r="AK404" s="137"/>
      <c r="AL404" s="137"/>
    </row>
    <row r="405">
      <c r="A405" s="131"/>
      <c r="B405" s="132"/>
      <c r="C405" s="132"/>
      <c r="Q405" s="133"/>
      <c r="Y405" s="134"/>
      <c r="AB405" s="135"/>
      <c r="AE405" s="134"/>
      <c r="AF405" s="132"/>
      <c r="AH405" s="136"/>
      <c r="AJ405" s="137"/>
      <c r="AK405" s="137"/>
      <c r="AL405" s="137"/>
    </row>
    <row r="406">
      <c r="A406" s="131"/>
      <c r="B406" s="132"/>
      <c r="C406" s="132"/>
      <c r="Q406" s="133"/>
      <c r="Y406" s="134"/>
      <c r="AB406" s="135"/>
      <c r="AE406" s="134"/>
      <c r="AF406" s="132"/>
      <c r="AH406" s="136"/>
      <c r="AJ406" s="137"/>
      <c r="AK406" s="137"/>
      <c r="AL406" s="137"/>
    </row>
    <row r="407">
      <c r="A407" s="131"/>
      <c r="B407" s="132"/>
      <c r="C407" s="132"/>
      <c r="Q407" s="133"/>
      <c r="Y407" s="134"/>
      <c r="AB407" s="135"/>
      <c r="AE407" s="134"/>
      <c r="AF407" s="132"/>
      <c r="AH407" s="136"/>
      <c r="AJ407" s="137"/>
      <c r="AK407" s="137"/>
      <c r="AL407" s="137"/>
    </row>
    <row r="408">
      <c r="A408" s="131"/>
      <c r="B408" s="132"/>
      <c r="C408" s="132"/>
      <c r="Q408" s="133"/>
      <c r="Y408" s="134"/>
      <c r="AB408" s="135"/>
      <c r="AE408" s="134"/>
      <c r="AF408" s="132"/>
      <c r="AH408" s="136"/>
      <c r="AJ408" s="137"/>
      <c r="AK408" s="137"/>
      <c r="AL408" s="137"/>
    </row>
    <row r="409">
      <c r="A409" s="131"/>
      <c r="B409" s="132"/>
      <c r="C409" s="132"/>
      <c r="Q409" s="133"/>
      <c r="Y409" s="134"/>
      <c r="AB409" s="135"/>
      <c r="AE409" s="134"/>
      <c r="AF409" s="132"/>
      <c r="AH409" s="136"/>
      <c r="AJ409" s="137"/>
      <c r="AK409" s="137"/>
      <c r="AL409" s="137"/>
    </row>
    <row r="410">
      <c r="A410" s="131"/>
      <c r="B410" s="132"/>
      <c r="C410" s="132"/>
      <c r="Q410" s="133"/>
      <c r="Y410" s="134"/>
      <c r="AB410" s="135"/>
      <c r="AE410" s="134"/>
      <c r="AF410" s="132"/>
      <c r="AH410" s="136"/>
      <c r="AJ410" s="137"/>
      <c r="AK410" s="137"/>
      <c r="AL410" s="137"/>
    </row>
    <row r="411">
      <c r="A411" s="131"/>
      <c r="B411" s="132"/>
      <c r="C411" s="132"/>
      <c r="Q411" s="133"/>
      <c r="Y411" s="134"/>
      <c r="AB411" s="135"/>
      <c r="AE411" s="134"/>
      <c r="AF411" s="132"/>
      <c r="AH411" s="136"/>
      <c r="AJ411" s="137"/>
      <c r="AK411" s="137"/>
      <c r="AL411" s="137"/>
    </row>
    <row r="412">
      <c r="A412" s="131"/>
      <c r="B412" s="132"/>
      <c r="C412" s="132"/>
      <c r="Q412" s="133"/>
      <c r="Y412" s="134"/>
      <c r="AB412" s="135"/>
      <c r="AE412" s="134"/>
      <c r="AF412" s="132"/>
      <c r="AH412" s="136"/>
      <c r="AJ412" s="137"/>
      <c r="AK412" s="137"/>
      <c r="AL412" s="137"/>
    </row>
    <row r="413">
      <c r="A413" s="131"/>
      <c r="B413" s="132"/>
      <c r="C413" s="132"/>
      <c r="Q413" s="133"/>
      <c r="Y413" s="134"/>
      <c r="AB413" s="135"/>
      <c r="AE413" s="134"/>
      <c r="AF413" s="132"/>
      <c r="AH413" s="136"/>
      <c r="AJ413" s="137"/>
      <c r="AK413" s="137"/>
      <c r="AL413" s="137"/>
    </row>
    <row r="414">
      <c r="A414" s="131"/>
      <c r="B414" s="132"/>
      <c r="C414" s="132"/>
      <c r="Q414" s="133"/>
      <c r="Y414" s="134"/>
      <c r="AB414" s="135"/>
      <c r="AE414" s="134"/>
      <c r="AF414" s="132"/>
      <c r="AH414" s="136"/>
      <c r="AJ414" s="137"/>
      <c r="AK414" s="137"/>
      <c r="AL414" s="137"/>
    </row>
    <row r="415">
      <c r="A415" s="131"/>
      <c r="B415" s="132"/>
      <c r="C415" s="132"/>
      <c r="Q415" s="133"/>
      <c r="Y415" s="134"/>
      <c r="AB415" s="135"/>
      <c r="AE415" s="134"/>
      <c r="AF415" s="132"/>
      <c r="AH415" s="136"/>
      <c r="AJ415" s="137"/>
      <c r="AK415" s="137"/>
      <c r="AL415" s="137"/>
    </row>
    <row r="416">
      <c r="A416" s="131"/>
      <c r="B416" s="132"/>
      <c r="C416" s="132"/>
      <c r="Q416" s="133"/>
      <c r="Y416" s="134"/>
      <c r="AB416" s="135"/>
      <c r="AE416" s="134"/>
      <c r="AF416" s="132"/>
      <c r="AH416" s="136"/>
      <c r="AJ416" s="137"/>
      <c r="AK416" s="137"/>
      <c r="AL416" s="137"/>
    </row>
    <row r="417">
      <c r="A417" s="131"/>
      <c r="B417" s="132"/>
      <c r="C417" s="132"/>
      <c r="Q417" s="133"/>
      <c r="Y417" s="134"/>
      <c r="AB417" s="135"/>
      <c r="AE417" s="134"/>
      <c r="AF417" s="132"/>
      <c r="AH417" s="136"/>
      <c r="AJ417" s="137"/>
      <c r="AK417" s="137"/>
      <c r="AL417" s="137"/>
    </row>
    <row r="418">
      <c r="A418" s="131"/>
      <c r="B418" s="132"/>
      <c r="C418" s="132"/>
      <c r="Q418" s="133"/>
      <c r="Y418" s="134"/>
      <c r="AB418" s="135"/>
      <c r="AE418" s="134"/>
      <c r="AF418" s="132"/>
      <c r="AH418" s="136"/>
      <c r="AJ418" s="137"/>
      <c r="AK418" s="137"/>
      <c r="AL418" s="137"/>
    </row>
    <row r="419">
      <c r="A419" s="131"/>
      <c r="B419" s="132"/>
      <c r="C419" s="132"/>
      <c r="Q419" s="133"/>
      <c r="Y419" s="134"/>
      <c r="AB419" s="135"/>
      <c r="AE419" s="134"/>
      <c r="AF419" s="132"/>
      <c r="AH419" s="136"/>
      <c r="AJ419" s="137"/>
      <c r="AK419" s="137"/>
      <c r="AL419" s="137"/>
    </row>
    <row r="420">
      <c r="A420" s="131"/>
      <c r="B420" s="132"/>
      <c r="C420" s="132"/>
      <c r="Q420" s="133"/>
      <c r="Y420" s="134"/>
      <c r="AB420" s="135"/>
      <c r="AE420" s="134"/>
      <c r="AF420" s="132"/>
      <c r="AH420" s="136"/>
      <c r="AJ420" s="137"/>
      <c r="AK420" s="137"/>
      <c r="AL420" s="137"/>
    </row>
    <row r="421">
      <c r="A421" s="131"/>
      <c r="B421" s="132"/>
      <c r="C421" s="132"/>
      <c r="Q421" s="133"/>
      <c r="Y421" s="134"/>
      <c r="AB421" s="135"/>
      <c r="AE421" s="134"/>
      <c r="AF421" s="132"/>
      <c r="AH421" s="136"/>
      <c r="AJ421" s="137"/>
      <c r="AK421" s="137"/>
      <c r="AL421" s="137"/>
    </row>
    <row r="422">
      <c r="A422" s="131"/>
      <c r="B422" s="132"/>
      <c r="C422" s="132"/>
      <c r="Q422" s="133"/>
      <c r="Y422" s="134"/>
      <c r="AB422" s="135"/>
      <c r="AE422" s="134"/>
      <c r="AF422" s="132"/>
      <c r="AH422" s="136"/>
      <c r="AJ422" s="137"/>
      <c r="AK422" s="137"/>
      <c r="AL422" s="137"/>
    </row>
    <row r="423">
      <c r="A423" s="131"/>
      <c r="B423" s="132"/>
      <c r="C423" s="132"/>
      <c r="Q423" s="133"/>
      <c r="Y423" s="134"/>
      <c r="AB423" s="135"/>
      <c r="AE423" s="134"/>
      <c r="AF423" s="132"/>
      <c r="AH423" s="136"/>
      <c r="AJ423" s="137"/>
      <c r="AK423" s="137"/>
      <c r="AL423" s="137"/>
    </row>
    <row r="424">
      <c r="A424" s="131"/>
      <c r="B424" s="132"/>
      <c r="C424" s="132"/>
      <c r="Q424" s="133"/>
      <c r="Y424" s="134"/>
      <c r="AB424" s="135"/>
      <c r="AE424" s="134"/>
      <c r="AF424" s="132"/>
      <c r="AH424" s="136"/>
      <c r="AJ424" s="137"/>
      <c r="AK424" s="137"/>
      <c r="AL424" s="137"/>
    </row>
    <row r="425">
      <c r="A425" s="131"/>
      <c r="B425" s="132"/>
      <c r="C425" s="132"/>
      <c r="Q425" s="133"/>
      <c r="Y425" s="134"/>
      <c r="AB425" s="135"/>
      <c r="AE425" s="134"/>
      <c r="AF425" s="132"/>
      <c r="AH425" s="136"/>
      <c r="AJ425" s="137"/>
      <c r="AK425" s="137"/>
      <c r="AL425" s="137"/>
    </row>
    <row r="426">
      <c r="A426" s="131"/>
      <c r="B426" s="132"/>
      <c r="C426" s="132"/>
      <c r="Q426" s="133"/>
      <c r="Y426" s="134"/>
      <c r="AB426" s="135"/>
      <c r="AE426" s="134"/>
      <c r="AF426" s="132"/>
      <c r="AH426" s="136"/>
      <c r="AJ426" s="137"/>
      <c r="AK426" s="137"/>
      <c r="AL426" s="137"/>
    </row>
    <row r="427">
      <c r="A427" s="131"/>
      <c r="B427" s="132"/>
      <c r="C427" s="132"/>
      <c r="Q427" s="133"/>
      <c r="Y427" s="134"/>
      <c r="AB427" s="135"/>
      <c r="AE427" s="134"/>
      <c r="AF427" s="132"/>
      <c r="AH427" s="136"/>
      <c r="AJ427" s="137"/>
      <c r="AK427" s="137"/>
      <c r="AL427" s="137"/>
    </row>
    <row r="428">
      <c r="A428" s="131"/>
      <c r="B428" s="132"/>
      <c r="C428" s="132"/>
      <c r="Q428" s="133"/>
      <c r="Y428" s="134"/>
      <c r="AB428" s="135"/>
      <c r="AE428" s="134"/>
      <c r="AF428" s="132"/>
      <c r="AH428" s="136"/>
      <c r="AJ428" s="137"/>
      <c r="AK428" s="137"/>
      <c r="AL428" s="137"/>
    </row>
    <row r="429">
      <c r="A429" s="131"/>
      <c r="B429" s="132"/>
      <c r="C429" s="132"/>
      <c r="Q429" s="133"/>
      <c r="Y429" s="134"/>
      <c r="AB429" s="135"/>
      <c r="AE429" s="134"/>
      <c r="AF429" s="132"/>
      <c r="AH429" s="136"/>
      <c r="AJ429" s="137"/>
      <c r="AK429" s="137"/>
      <c r="AL429" s="137"/>
    </row>
    <row r="430">
      <c r="A430" s="131"/>
      <c r="B430" s="132"/>
      <c r="C430" s="132"/>
      <c r="Q430" s="133"/>
      <c r="Y430" s="134"/>
      <c r="AB430" s="135"/>
      <c r="AE430" s="134"/>
      <c r="AF430" s="132"/>
      <c r="AH430" s="136"/>
      <c r="AJ430" s="137"/>
      <c r="AK430" s="137"/>
      <c r="AL430" s="137"/>
    </row>
    <row r="431">
      <c r="A431" s="131"/>
      <c r="B431" s="132"/>
      <c r="C431" s="132"/>
      <c r="Q431" s="133"/>
      <c r="Y431" s="134"/>
      <c r="AB431" s="135"/>
      <c r="AE431" s="134"/>
      <c r="AF431" s="132"/>
      <c r="AH431" s="136"/>
      <c r="AJ431" s="137"/>
      <c r="AK431" s="137"/>
      <c r="AL431" s="137"/>
    </row>
    <row r="432">
      <c r="A432" s="131"/>
      <c r="B432" s="132"/>
      <c r="C432" s="132"/>
      <c r="Q432" s="133"/>
      <c r="Y432" s="134"/>
      <c r="AB432" s="135"/>
      <c r="AE432" s="134"/>
      <c r="AF432" s="132"/>
      <c r="AH432" s="136"/>
      <c r="AJ432" s="137"/>
      <c r="AK432" s="137"/>
      <c r="AL432" s="137"/>
    </row>
    <row r="433">
      <c r="A433" s="131"/>
      <c r="B433" s="132"/>
      <c r="C433" s="132"/>
      <c r="Q433" s="133"/>
      <c r="Y433" s="134"/>
      <c r="AB433" s="135"/>
      <c r="AE433" s="134"/>
      <c r="AF433" s="132"/>
      <c r="AH433" s="136"/>
      <c r="AJ433" s="137"/>
      <c r="AK433" s="137"/>
      <c r="AL433" s="137"/>
    </row>
    <row r="434">
      <c r="A434" s="131"/>
      <c r="B434" s="132"/>
      <c r="C434" s="132"/>
      <c r="Q434" s="133"/>
      <c r="Y434" s="134"/>
      <c r="AB434" s="135"/>
      <c r="AE434" s="134"/>
      <c r="AF434" s="132"/>
      <c r="AH434" s="136"/>
      <c r="AJ434" s="137"/>
      <c r="AK434" s="137"/>
      <c r="AL434" s="137"/>
    </row>
    <row r="435">
      <c r="A435" s="131"/>
      <c r="B435" s="132"/>
      <c r="C435" s="132"/>
      <c r="Q435" s="133"/>
      <c r="Y435" s="134"/>
      <c r="AB435" s="135"/>
      <c r="AE435" s="134"/>
      <c r="AF435" s="132"/>
      <c r="AH435" s="136"/>
      <c r="AJ435" s="137"/>
      <c r="AK435" s="137"/>
      <c r="AL435" s="137"/>
    </row>
    <row r="436">
      <c r="A436" s="131"/>
      <c r="B436" s="132"/>
      <c r="C436" s="132"/>
      <c r="Q436" s="133"/>
      <c r="Y436" s="134"/>
      <c r="AB436" s="135"/>
      <c r="AE436" s="134"/>
      <c r="AF436" s="132"/>
      <c r="AH436" s="136"/>
      <c r="AJ436" s="137"/>
      <c r="AK436" s="137"/>
      <c r="AL436" s="137"/>
    </row>
    <row r="437">
      <c r="A437" s="131"/>
      <c r="B437" s="132"/>
      <c r="C437" s="132"/>
      <c r="Q437" s="133"/>
      <c r="Y437" s="134"/>
      <c r="AB437" s="135"/>
      <c r="AE437" s="134"/>
      <c r="AF437" s="132"/>
      <c r="AH437" s="136"/>
      <c r="AJ437" s="137"/>
      <c r="AK437" s="137"/>
      <c r="AL437" s="137"/>
    </row>
    <row r="438">
      <c r="A438" s="131"/>
      <c r="B438" s="132"/>
      <c r="C438" s="132"/>
      <c r="Q438" s="133"/>
      <c r="Y438" s="134"/>
      <c r="AB438" s="135"/>
      <c r="AE438" s="134"/>
      <c r="AF438" s="132"/>
      <c r="AH438" s="136"/>
      <c r="AJ438" s="137"/>
      <c r="AK438" s="137"/>
      <c r="AL438" s="137"/>
    </row>
    <row r="439">
      <c r="A439" s="131"/>
      <c r="B439" s="132"/>
      <c r="C439" s="132"/>
      <c r="Q439" s="133"/>
      <c r="Y439" s="134"/>
      <c r="AB439" s="135"/>
      <c r="AE439" s="134"/>
      <c r="AF439" s="132"/>
      <c r="AH439" s="136"/>
      <c r="AJ439" s="137"/>
      <c r="AK439" s="137"/>
      <c r="AL439" s="137"/>
    </row>
    <row r="440">
      <c r="A440" s="131"/>
      <c r="B440" s="132"/>
      <c r="C440" s="132"/>
      <c r="Q440" s="133"/>
      <c r="Y440" s="134"/>
      <c r="AB440" s="135"/>
      <c r="AE440" s="134"/>
      <c r="AF440" s="132"/>
      <c r="AH440" s="136"/>
      <c r="AJ440" s="137"/>
      <c r="AK440" s="137"/>
      <c r="AL440" s="137"/>
    </row>
    <row r="441">
      <c r="A441" s="131"/>
      <c r="B441" s="132"/>
      <c r="C441" s="132"/>
      <c r="Q441" s="133"/>
      <c r="Y441" s="134"/>
      <c r="AB441" s="135"/>
      <c r="AE441" s="134"/>
      <c r="AF441" s="132"/>
      <c r="AH441" s="136"/>
      <c r="AJ441" s="137"/>
      <c r="AK441" s="137"/>
      <c r="AL441" s="137"/>
    </row>
    <row r="442">
      <c r="A442" s="131"/>
      <c r="B442" s="132"/>
      <c r="C442" s="132"/>
      <c r="Q442" s="133"/>
      <c r="Y442" s="134"/>
      <c r="AB442" s="135"/>
      <c r="AE442" s="134"/>
      <c r="AF442" s="132"/>
      <c r="AH442" s="136"/>
      <c r="AJ442" s="137"/>
      <c r="AK442" s="137"/>
      <c r="AL442" s="137"/>
    </row>
    <row r="443">
      <c r="A443" s="131"/>
      <c r="B443" s="132"/>
      <c r="C443" s="132"/>
      <c r="Q443" s="133"/>
      <c r="Y443" s="134"/>
      <c r="AB443" s="135"/>
      <c r="AE443" s="134"/>
      <c r="AF443" s="132"/>
      <c r="AH443" s="136"/>
      <c r="AJ443" s="137"/>
      <c r="AK443" s="137"/>
      <c r="AL443" s="137"/>
    </row>
    <row r="444">
      <c r="A444" s="131"/>
      <c r="B444" s="132"/>
      <c r="C444" s="132"/>
      <c r="Q444" s="133"/>
      <c r="Y444" s="134"/>
      <c r="AB444" s="135"/>
      <c r="AE444" s="134"/>
      <c r="AF444" s="132"/>
      <c r="AH444" s="136"/>
      <c r="AJ444" s="137"/>
      <c r="AK444" s="137"/>
      <c r="AL444" s="137"/>
    </row>
    <row r="445">
      <c r="A445" s="131"/>
      <c r="B445" s="132"/>
      <c r="C445" s="132"/>
      <c r="Q445" s="133"/>
      <c r="Y445" s="134"/>
      <c r="AB445" s="135"/>
      <c r="AE445" s="134"/>
      <c r="AF445" s="132"/>
      <c r="AH445" s="136"/>
      <c r="AJ445" s="137"/>
      <c r="AK445" s="137"/>
      <c r="AL445" s="137"/>
    </row>
    <row r="446">
      <c r="A446" s="131"/>
      <c r="B446" s="132"/>
      <c r="C446" s="132"/>
      <c r="Q446" s="133"/>
      <c r="Y446" s="134"/>
      <c r="AB446" s="135"/>
      <c r="AE446" s="134"/>
      <c r="AF446" s="132"/>
      <c r="AH446" s="136"/>
      <c r="AJ446" s="137"/>
      <c r="AK446" s="137"/>
      <c r="AL446" s="137"/>
    </row>
    <row r="447">
      <c r="A447" s="131"/>
      <c r="B447" s="132"/>
      <c r="C447" s="132"/>
      <c r="Q447" s="133"/>
      <c r="Y447" s="134"/>
      <c r="AB447" s="135"/>
      <c r="AE447" s="134"/>
      <c r="AF447" s="132"/>
      <c r="AH447" s="136"/>
      <c r="AJ447" s="137"/>
      <c r="AK447" s="137"/>
      <c r="AL447" s="137"/>
    </row>
    <row r="448">
      <c r="A448" s="131"/>
      <c r="B448" s="132"/>
      <c r="C448" s="132"/>
      <c r="Q448" s="133"/>
      <c r="Y448" s="134"/>
      <c r="AB448" s="135"/>
      <c r="AE448" s="134"/>
      <c r="AF448" s="132"/>
      <c r="AH448" s="136"/>
      <c r="AJ448" s="137"/>
      <c r="AK448" s="137"/>
      <c r="AL448" s="137"/>
    </row>
    <row r="449">
      <c r="A449" s="131"/>
      <c r="B449" s="132"/>
      <c r="C449" s="132"/>
      <c r="Q449" s="133"/>
      <c r="Y449" s="134"/>
      <c r="AB449" s="135"/>
      <c r="AE449" s="134"/>
      <c r="AF449" s="132"/>
      <c r="AH449" s="136"/>
      <c r="AJ449" s="137"/>
      <c r="AK449" s="137"/>
      <c r="AL449" s="137"/>
    </row>
    <row r="450">
      <c r="A450" s="131"/>
      <c r="B450" s="132"/>
      <c r="C450" s="132"/>
      <c r="Q450" s="133"/>
      <c r="Y450" s="134"/>
      <c r="AB450" s="135"/>
      <c r="AE450" s="134"/>
      <c r="AF450" s="132"/>
      <c r="AH450" s="136"/>
      <c r="AJ450" s="137"/>
      <c r="AK450" s="137"/>
      <c r="AL450" s="137"/>
    </row>
    <row r="451">
      <c r="A451" s="131"/>
      <c r="B451" s="132"/>
      <c r="C451" s="132"/>
      <c r="Q451" s="133"/>
      <c r="Y451" s="134"/>
      <c r="AB451" s="135"/>
      <c r="AE451" s="134"/>
      <c r="AF451" s="132"/>
      <c r="AH451" s="136"/>
      <c r="AJ451" s="137"/>
      <c r="AK451" s="137"/>
      <c r="AL451" s="137"/>
    </row>
    <row r="452">
      <c r="A452" s="131"/>
      <c r="B452" s="132"/>
      <c r="C452" s="132"/>
      <c r="Q452" s="133"/>
      <c r="Y452" s="134"/>
      <c r="AB452" s="135"/>
      <c r="AE452" s="134"/>
      <c r="AF452" s="132"/>
      <c r="AH452" s="136"/>
      <c r="AJ452" s="137"/>
      <c r="AK452" s="137"/>
      <c r="AL452" s="137"/>
    </row>
    <row r="453">
      <c r="A453" s="131"/>
      <c r="B453" s="132"/>
      <c r="C453" s="132"/>
      <c r="Q453" s="133"/>
      <c r="Y453" s="134"/>
      <c r="AB453" s="135"/>
      <c r="AE453" s="134"/>
      <c r="AF453" s="132"/>
      <c r="AH453" s="136"/>
      <c r="AJ453" s="137"/>
      <c r="AK453" s="137"/>
      <c r="AL453" s="137"/>
    </row>
    <row r="454">
      <c r="A454" s="131"/>
      <c r="B454" s="132"/>
      <c r="C454" s="132"/>
      <c r="Q454" s="133"/>
      <c r="Y454" s="134"/>
      <c r="AB454" s="135"/>
      <c r="AE454" s="134"/>
      <c r="AF454" s="132"/>
      <c r="AH454" s="136"/>
      <c r="AJ454" s="137"/>
      <c r="AK454" s="137"/>
      <c r="AL454" s="137"/>
    </row>
    <row r="455">
      <c r="A455" s="131"/>
      <c r="B455" s="132"/>
      <c r="C455" s="132"/>
      <c r="Q455" s="133"/>
      <c r="Y455" s="134"/>
      <c r="AB455" s="135"/>
      <c r="AE455" s="134"/>
      <c r="AF455" s="132"/>
      <c r="AH455" s="136"/>
      <c r="AJ455" s="137"/>
      <c r="AK455" s="137"/>
      <c r="AL455" s="137"/>
    </row>
    <row r="456">
      <c r="A456" s="131"/>
      <c r="B456" s="132"/>
      <c r="C456" s="132"/>
      <c r="Q456" s="133"/>
      <c r="Y456" s="134"/>
      <c r="AB456" s="135"/>
      <c r="AE456" s="134"/>
      <c r="AF456" s="132"/>
      <c r="AH456" s="136"/>
      <c r="AJ456" s="137"/>
      <c r="AK456" s="137"/>
      <c r="AL456" s="137"/>
    </row>
    <row r="457">
      <c r="A457" s="131"/>
      <c r="B457" s="132"/>
      <c r="C457" s="132"/>
      <c r="Q457" s="133"/>
      <c r="Y457" s="134"/>
      <c r="AB457" s="135"/>
      <c r="AE457" s="134"/>
      <c r="AF457" s="132"/>
      <c r="AH457" s="136"/>
      <c r="AJ457" s="137"/>
      <c r="AK457" s="137"/>
      <c r="AL457" s="137"/>
    </row>
    <row r="458">
      <c r="A458" s="131"/>
      <c r="B458" s="132"/>
      <c r="C458" s="132"/>
      <c r="Q458" s="133"/>
      <c r="Y458" s="134"/>
      <c r="AB458" s="135"/>
      <c r="AE458" s="134"/>
      <c r="AF458" s="132"/>
      <c r="AH458" s="136"/>
      <c r="AJ458" s="137"/>
      <c r="AK458" s="137"/>
      <c r="AL458" s="137"/>
    </row>
    <row r="459">
      <c r="A459" s="131"/>
      <c r="B459" s="132"/>
      <c r="C459" s="132"/>
      <c r="Q459" s="133"/>
      <c r="Y459" s="134"/>
      <c r="AB459" s="135"/>
      <c r="AE459" s="134"/>
      <c r="AF459" s="132"/>
      <c r="AH459" s="136"/>
      <c r="AJ459" s="137"/>
      <c r="AK459" s="137"/>
      <c r="AL459" s="137"/>
    </row>
    <row r="460">
      <c r="A460" s="131"/>
      <c r="B460" s="132"/>
      <c r="C460" s="132"/>
      <c r="Q460" s="133"/>
      <c r="Y460" s="134"/>
      <c r="AB460" s="135"/>
      <c r="AE460" s="134"/>
      <c r="AF460" s="132"/>
      <c r="AH460" s="136"/>
      <c r="AJ460" s="137"/>
      <c r="AK460" s="137"/>
      <c r="AL460" s="137"/>
    </row>
    <row r="461">
      <c r="A461" s="131"/>
      <c r="B461" s="132"/>
      <c r="C461" s="132"/>
      <c r="Q461" s="133"/>
      <c r="Y461" s="134"/>
      <c r="AB461" s="135"/>
      <c r="AE461" s="134"/>
      <c r="AF461" s="132"/>
      <c r="AH461" s="136"/>
      <c r="AJ461" s="137"/>
      <c r="AK461" s="137"/>
      <c r="AL461" s="137"/>
    </row>
    <row r="462">
      <c r="A462" s="131"/>
      <c r="B462" s="132"/>
      <c r="C462" s="132"/>
      <c r="Q462" s="133"/>
      <c r="Y462" s="134"/>
      <c r="AB462" s="135"/>
      <c r="AE462" s="134"/>
      <c r="AF462" s="132"/>
      <c r="AH462" s="136"/>
      <c r="AJ462" s="137"/>
      <c r="AK462" s="137"/>
      <c r="AL462" s="137"/>
    </row>
    <row r="463">
      <c r="A463" s="131"/>
      <c r="B463" s="132"/>
      <c r="C463" s="132"/>
      <c r="Q463" s="133"/>
      <c r="Y463" s="134"/>
      <c r="AB463" s="135"/>
      <c r="AE463" s="134"/>
      <c r="AF463" s="132"/>
      <c r="AH463" s="136"/>
      <c r="AJ463" s="137"/>
      <c r="AK463" s="137"/>
      <c r="AL463" s="137"/>
    </row>
    <row r="464">
      <c r="A464" s="131"/>
      <c r="B464" s="132"/>
      <c r="C464" s="132"/>
      <c r="Q464" s="133"/>
      <c r="Y464" s="134"/>
      <c r="AB464" s="135"/>
      <c r="AE464" s="134"/>
      <c r="AF464" s="132"/>
      <c r="AH464" s="136"/>
      <c r="AJ464" s="137"/>
      <c r="AK464" s="137"/>
      <c r="AL464" s="137"/>
    </row>
    <row r="465">
      <c r="A465" s="131"/>
      <c r="B465" s="132"/>
      <c r="C465" s="132"/>
      <c r="Q465" s="133"/>
      <c r="Y465" s="134"/>
      <c r="AB465" s="135"/>
      <c r="AE465" s="134"/>
      <c r="AF465" s="132"/>
      <c r="AH465" s="136"/>
      <c r="AJ465" s="137"/>
      <c r="AK465" s="137"/>
      <c r="AL465" s="137"/>
    </row>
    <row r="466">
      <c r="A466" s="131"/>
      <c r="B466" s="132"/>
      <c r="C466" s="132"/>
      <c r="Q466" s="133"/>
      <c r="Y466" s="134"/>
      <c r="AB466" s="135"/>
      <c r="AE466" s="134"/>
      <c r="AF466" s="132"/>
      <c r="AH466" s="136"/>
      <c r="AJ466" s="137"/>
      <c r="AK466" s="137"/>
      <c r="AL466" s="137"/>
    </row>
    <row r="467">
      <c r="A467" s="131"/>
      <c r="B467" s="132"/>
      <c r="C467" s="132"/>
      <c r="Q467" s="133"/>
      <c r="Y467" s="134"/>
      <c r="AB467" s="135"/>
      <c r="AE467" s="134"/>
      <c r="AF467" s="132"/>
      <c r="AH467" s="136"/>
      <c r="AJ467" s="137"/>
      <c r="AK467" s="137"/>
      <c r="AL467" s="137"/>
    </row>
    <row r="468">
      <c r="A468" s="131"/>
      <c r="B468" s="132"/>
      <c r="C468" s="132"/>
      <c r="Q468" s="133"/>
      <c r="Y468" s="134"/>
      <c r="AB468" s="135"/>
      <c r="AE468" s="134"/>
      <c r="AF468" s="132"/>
      <c r="AH468" s="136"/>
      <c r="AJ468" s="137"/>
      <c r="AK468" s="137"/>
      <c r="AL468" s="137"/>
    </row>
    <row r="469">
      <c r="A469" s="131"/>
      <c r="B469" s="132"/>
      <c r="C469" s="132"/>
      <c r="Q469" s="133"/>
      <c r="Y469" s="134"/>
      <c r="AB469" s="135"/>
      <c r="AE469" s="134"/>
      <c r="AF469" s="132"/>
      <c r="AH469" s="136"/>
      <c r="AJ469" s="137"/>
      <c r="AK469" s="137"/>
      <c r="AL469" s="137"/>
    </row>
    <row r="470">
      <c r="A470" s="131"/>
      <c r="B470" s="132"/>
      <c r="C470" s="132"/>
      <c r="Q470" s="133"/>
      <c r="Y470" s="134"/>
      <c r="AB470" s="135"/>
      <c r="AE470" s="134"/>
      <c r="AF470" s="132"/>
      <c r="AH470" s="136"/>
      <c r="AJ470" s="137"/>
      <c r="AK470" s="137"/>
      <c r="AL470" s="137"/>
    </row>
    <row r="471">
      <c r="A471" s="131"/>
      <c r="B471" s="132"/>
      <c r="C471" s="132"/>
      <c r="Q471" s="133"/>
      <c r="Y471" s="134"/>
      <c r="AB471" s="135"/>
      <c r="AE471" s="134"/>
      <c r="AF471" s="132"/>
      <c r="AH471" s="136"/>
      <c r="AJ471" s="137"/>
      <c r="AK471" s="137"/>
      <c r="AL471" s="137"/>
    </row>
    <row r="472">
      <c r="A472" s="131"/>
      <c r="B472" s="132"/>
      <c r="C472" s="132"/>
      <c r="Q472" s="133"/>
      <c r="Y472" s="134"/>
      <c r="AB472" s="135"/>
      <c r="AE472" s="134"/>
      <c r="AF472" s="132"/>
      <c r="AH472" s="136"/>
      <c r="AJ472" s="137"/>
      <c r="AK472" s="137"/>
      <c r="AL472" s="137"/>
    </row>
    <row r="473">
      <c r="A473" s="131"/>
      <c r="B473" s="132"/>
      <c r="C473" s="132"/>
      <c r="Q473" s="133"/>
      <c r="Y473" s="134"/>
      <c r="AB473" s="135"/>
      <c r="AE473" s="134"/>
      <c r="AF473" s="132"/>
      <c r="AH473" s="136"/>
      <c r="AJ473" s="137"/>
      <c r="AK473" s="137"/>
      <c r="AL473" s="137"/>
    </row>
    <row r="474">
      <c r="A474" s="131"/>
      <c r="B474" s="132"/>
      <c r="C474" s="132"/>
      <c r="Q474" s="133"/>
      <c r="Y474" s="134"/>
      <c r="AB474" s="135"/>
      <c r="AE474" s="134"/>
      <c r="AF474" s="132"/>
      <c r="AH474" s="136"/>
      <c r="AJ474" s="137"/>
      <c r="AK474" s="137"/>
      <c r="AL474" s="137"/>
    </row>
    <row r="475">
      <c r="A475" s="131"/>
      <c r="B475" s="132"/>
      <c r="C475" s="132"/>
      <c r="Q475" s="133"/>
      <c r="Y475" s="134"/>
      <c r="AB475" s="135"/>
      <c r="AE475" s="134"/>
      <c r="AF475" s="132"/>
      <c r="AH475" s="136"/>
      <c r="AJ475" s="137"/>
      <c r="AK475" s="137"/>
      <c r="AL475" s="137"/>
    </row>
    <row r="476">
      <c r="A476" s="131"/>
      <c r="B476" s="132"/>
      <c r="C476" s="132"/>
      <c r="Q476" s="133"/>
      <c r="Y476" s="134"/>
      <c r="AB476" s="135"/>
      <c r="AE476" s="134"/>
      <c r="AF476" s="132"/>
      <c r="AH476" s="136"/>
      <c r="AJ476" s="137"/>
      <c r="AK476" s="137"/>
      <c r="AL476" s="137"/>
    </row>
    <row r="477">
      <c r="A477" s="131"/>
      <c r="B477" s="132"/>
      <c r="C477" s="132"/>
      <c r="Q477" s="133"/>
      <c r="Y477" s="134"/>
      <c r="AB477" s="135"/>
      <c r="AE477" s="134"/>
      <c r="AF477" s="132"/>
      <c r="AH477" s="136"/>
      <c r="AJ477" s="137"/>
      <c r="AK477" s="137"/>
      <c r="AL477" s="137"/>
    </row>
    <row r="478">
      <c r="A478" s="131"/>
      <c r="B478" s="132"/>
      <c r="C478" s="132"/>
      <c r="Q478" s="133"/>
      <c r="Y478" s="134"/>
      <c r="AB478" s="135"/>
      <c r="AE478" s="134"/>
      <c r="AF478" s="132"/>
      <c r="AH478" s="136"/>
      <c r="AJ478" s="137"/>
      <c r="AK478" s="137"/>
      <c r="AL478" s="137"/>
    </row>
    <row r="479">
      <c r="A479" s="131"/>
      <c r="B479" s="132"/>
      <c r="C479" s="132"/>
      <c r="Q479" s="133"/>
      <c r="Y479" s="134"/>
      <c r="AB479" s="135"/>
      <c r="AE479" s="134"/>
      <c r="AF479" s="132"/>
      <c r="AH479" s="136"/>
      <c r="AJ479" s="137"/>
      <c r="AK479" s="137"/>
      <c r="AL479" s="137"/>
    </row>
    <row r="480">
      <c r="A480" s="131"/>
      <c r="B480" s="132"/>
      <c r="C480" s="132"/>
      <c r="Q480" s="133"/>
      <c r="Y480" s="134"/>
      <c r="AB480" s="135"/>
      <c r="AE480" s="134"/>
      <c r="AF480" s="132"/>
      <c r="AH480" s="136"/>
      <c r="AJ480" s="137"/>
      <c r="AK480" s="137"/>
      <c r="AL480" s="137"/>
    </row>
    <row r="481">
      <c r="A481" s="131"/>
      <c r="B481" s="132"/>
      <c r="C481" s="132"/>
      <c r="Q481" s="133"/>
      <c r="Y481" s="134"/>
      <c r="AB481" s="135"/>
      <c r="AE481" s="134"/>
      <c r="AF481" s="132"/>
      <c r="AH481" s="136"/>
      <c r="AJ481" s="137"/>
      <c r="AK481" s="137"/>
      <c r="AL481" s="137"/>
    </row>
    <row r="482">
      <c r="A482" s="131"/>
      <c r="B482" s="132"/>
      <c r="C482" s="132"/>
      <c r="Q482" s="133"/>
      <c r="Y482" s="134"/>
      <c r="AB482" s="135"/>
      <c r="AE482" s="134"/>
      <c r="AF482" s="132"/>
      <c r="AH482" s="136"/>
      <c r="AJ482" s="137"/>
      <c r="AK482" s="137"/>
      <c r="AL482" s="137"/>
    </row>
    <row r="483">
      <c r="A483" s="131"/>
      <c r="B483" s="132"/>
      <c r="C483" s="132"/>
      <c r="Q483" s="133"/>
      <c r="Y483" s="134"/>
      <c r="AB483" s="135"/>
      <c r="AE483" s="134"/>
      <c r="AF483" s="132"/>
      <c r="AH483" s="136"/>
      <c r="AJ483" s="137"/>
      <c r="AK483" s="137"/>
      <c r="AL483" s="137"/>
    </row>
    <row r="484">
      <c r="A484" s="131"/>
      <c r="B484" s="132"/>
      <c r="C484" s="132"/>
      <c r="Q484" s="133"/>
      <c r="Y484" s="134"/>
      <c r="AB484" s="135"/>
      <c r="AE484" s="134"/>
      <c r="AF484" s="132"/>
      <c r="AH484" s="136"/>
      <c r="AJ484" s="137"/>
      <c r="AK484" s="137"/>
      <c r="AL484" s="137"/>
    </row>
    <row r="485">
      <c r="A485" s="131"/>
      <c r="B485" s="132"/>
      <c r="C485" s="132"/>
      <c r="Q485" s="133"/>
      <c r="Y485" s="134"/>
      <c r="AB485" s="135"/>
      <c r="AE485" s="134"/>
      <c r="AF485" s="132"/>
      <c r="AH485" s="136"/>
      <c r="AJ485" s="137"/>
      <c r="AK485" s="137"/>
      <c r="AL485" s="137"/>
    </row>
    <row r="486">
      <c r="A486" s="131"/>
      <c r="B486" s="132"/>
      <c r="C486" s="132"/>
      <c r="Q486" s="133"/>
      <c r="Y486" s="134"/>
      <c r="AB486" s="135"/>
      <c r="AE486" s="134"/>
      <c r="AF486" s="132"/>
      <c r="AH486" s="136"/>
      <c r="AJ486" s="137"/>
      <c r="AK486" s="137"/>
      <c r="AL486" s="137"/>
    </row>
    <row r="487">
      <c r="A487" s="131"/>
      <c r="B487" s="132"/>
      <c r="C487" s="132"/>
      <c r="Q487" s="133"/>
      <c r="Y487" s="134"/>
      <c r="AB487" s="135"/>
      <c r="AE487" s="134"/>
      <c r="AF487" s="132"/>
      <c r="AH487" s="136"/>
      <c r="AJ487" s="137"/>
      <c r="AK487" s="137"/>
      <c r="AL487" s="137"/>
    </row>
    <row r="488">
      <c r="A488" s="131"/>
      <c r="B488" s="132"/>
      <c r="C488" s="132"/>
      <c r="Q488" s="133"/>
      <c r="Y488" s="134"/>
      <c r="AB488" s="135"/>
      <c r="AE488" s="134"/>
      <c r="AF488" s="132"/>
      <c r="AH488" s="136"/>
      <c r="AJ488" s="137"/>
      <c r="AK488" s="137"/>
      <c r="AL488" s="137"/>
    </row>
    <row r="489">
      <c r="A489" s="131"/>
      <c r="B489" s="132"/>
      <c r="C489" s="132"/>
      <c r="Q489" s="133"/>
      <c r="Y489" s="134"/>
      <c r="AB489" s="135"/>
      <c r="AE489" s="134"/>
      <c r="AF489" s="132"/>
      <c r="AH489" s="136"/>
      <c r="AJ489" s="137"/>
      <c r="AK489" s="137"/>
      <c r="AL489" s="137"/>
    </row>
    <row r="490">
      <c r="A490" s="131"/>
      <c r="B490" s="132"/>
      <c r="C490" s="132"/>
      <c r="Q490" s="133"/>
      <c r="Y490" s="134"/>
      <c r="AB490" s="135"/>
      <c r="AE490" s="134"/>
      <c r="AF490" s="132"/>
      <c r="AH490" s="136"/>
      <c r="AJ490" s="137"/>
      <c r="AK490" s="137"/>
      <c r="AL490" s="137"/>
    </row>
    <row r="491">
      <c r="A491" s="131"/>
      <c r="B491" s="132"/>
      <c r="C491" s="132"/>
      <c r="Q491" s="133"/>
      <c r="Y491" s="134"/>
      <c r="AB491" s="135"/>
      <c r="AE491" s="134"/>
      <c r="AF491" s="132"/>
      <c r="AH491" s="136"/>
      <c r="AJ491" s="137"/>
      <c r="AK491" s="137"/>
      <c r="AL491" s="137"/>
    </row>
    <row r="492">
      <c r="A492" s="131"/>
      <c r="B492" s="132"/>
      <c r="C492" s="132"/>
      <c r="Q492" s="133"/>
      <c r="Y492" s="134"/>
      <c r="AB492" s="135"/>
      <c r="AE492" s="134"/>
      <c r="AF492" s="132"/>
      <c r="AH492" s="136"/>
      <c r="AJ492" s="137"/>
      <c r="AK492" s="137"/>
      <c r="AL492" s="137"/>
    </row>
    <row r="493">
      <c r="A493" s="131"/>
      <c r="B493" s="132"/>
      <c r="C493" s="132"/>
      <c r="Q493" s="133"/>
      <c r="Y493" s="134"/>
      <c r="AB493" s="135"/>
      <c r="AE493" s="134"/>
      <c r="AF493" s="132"/>
      <c r="AH493" s="136"/>
      <c r="AJ493" s="137"/>
      <c r="AK493" s="137"/>
      <c r="AL493" s="137"/>
    </row>
    <row r="494">
      <c r="A494" s="131"/>
      <c r="B494" s="132"/>
      <c r="C494" s="132"/>
      <c r="Q494" s="133"/>
      <c r="Y494" s="134"/>
      <c r="AB494" s="135"/>
      <c r="AE494" s="134"/>
      <c r="AF494" s="132"/>
      <c r="AH494" s="136"/>
      <c r="AJ494" s="137"/>
      <c r="AK494" s="137"/>
      <c r="AL494" s="137"/>
    </row>
    <row r="495">
      <c r="A495" s="131"/>
      <c r="B495" s="132"/>
      <c r="C495" s="132"/>
      <c r="Q495" s="133"/>
      <c r="Y495" s="134"/>
      <c r="AB495" s="135"/>
      <c r="AE495" s="134"/>
      <c r="AF495" s="132"/>
      <c r="AH495" s="136"/>
      <c r="AJ495" s="137"/>
      <c r="AK495" s="137"/>
      <c r="AL495" s="137"/>
    </row>
    <row r="496">
      <c r="A496" s="131"/>
      <c r="B496" s="132"/>
      <c r="C496" s="132"/>
      <c r="Q496" s="133"/>
      <c r="Y496" s="134"/>
      <c r="AB496" s="135"/>
      <c r="AE496" s="134"/>
      <c r="AF496" s="132"/>
      <c r="AH496" s="136"/>
      <c r="AJ496" s="137"/>
      <c r="AK496" s="137"/>
      <c r="AL496" s="137"/>
    </row>
    <row r="497">
      <c r="A497" s="131"/>
      <c r="B497" s="132"/>
      <c r="C497" s="132"/>
      <c r="Q497" s="133"/>
      <c r="Y497" s="134"/>
      <c r="AB497" s="135"/>
      <c r="AE497" s="134"/>
      <c r="AF497" s="132"/>
      <c r="AH497" s="136"/>
      <c r="AJ497" s="137"/>
      <c r="AK497" s="137"/>
      <c r="AL497" s="137"/>
    </row>
    <row r="498">
      <c r="A498" s="131"/>
      <c r="B498" s="132"/>
      <c r="C498" s="132"/>
      <c r="Q498" s="133"/>
      <c r="Y498" s="134"/>
      <c r="AB498" s="135"/>
      <c r="AE498" s="134"/>
      <c r="AF498" s="132"/>
      <c r="AH498" s="136"/>
      <c r="AJ498" s="137"/>
      <c r="AK498" s="137"/>
      <c r="AL498" s="137"/>
    </row>
    <row r="499">
      <c r="A499" s="131"/>
      <c r="B499" s="132"/>
      <c r="C499" s="132"/>
      <c r="Q499" s="133"/>
      <c r="Y499" s="134"/>
      <c r="AB499" s="135"/>
      <c r="AE499" s="134"/>
      <c r="AF499" s="132"/>
      <c r="AH499" s="136"/>
      <c r="AJ499" s="137"/>
      <c r="AK499" s="137"/>
      <c r="AL499" s="137"/>
    </row>
    <row r="500">
      <c r="A500" s="131"/>
      <c r="B500" s="132"/>
      <c r="C500" s="132"/>
      <c r="Q500" s="133"/>
      <c r="Y500" s="134"/>
      <c r="AB500" s="135"/>
      <c r="AE500" s="134"/>
      <c r="AF500" s="132"/>
      <c r="AH500" s="136"/>
      <c r="AJ500" s="137"/>
      <c r="AK500" s="137"/>
      <c r="AL500" s="137"/>
    </row>
    <row r="501">
      <c r="A501" s="131"/>
      <c r="B501" s="132"/>
      <c r="C501" s="132"/>
      <c r="Q501" s="133"/>
      <c r="Y501" s="134"/>
      <c r="AB501" s="135"/>
      <c r="AE501" s="134"/>
      <c r="AF501" s="132"/>
      <c r="AH501" s="136"/>
      <c r="AJ501" s="137"/>
      <c r="AK501" s="137"/>
      <c r="AL501" s="137"/>
    </row>
    <row r="502">
      <c r="A502" s="131"/>
      <c r="B502" s="132"/>
      <c r="C502" s="132"/>
      <c r="Q502" s="133"/>
      <c r="Y502" s="134"/>
      <c r="AB502" s="135"/>
      <c r="AE502" s="134"/>
      <c r="AF502" s="132"/>
      <c r="AH502" s="136"/>
      <c r="AJ502" s="137"/>
      <c r="AK502" s="137"/>
      <c r="AL502" s="137"/>
    </row>
    <row r="503">
      <c r="A503" s="131"/>
      <c r="B503" s="132"/>
      <c r="C503" s="132"/>
      <c r="Q503" s="133"/>
      <c r="Y503" s="134"/>
      <c r="AB503" s="135"/>
      <c r="AE503" s="134"/>
      <c r="AF503" s="132"/>
      <c r="AH503" s="136"/>
      <c r="AJ503" s="137"/>
      <c r="AK503" s="137"/>
      <c r="AL503" s="137"/>
    </row>
    <row r="504">
      <c r="A504" s="131"/>
      <c r="B504" s="132"/>
      <c r="C504" s="132"/>
      <c r="Q504" s="133"/>
      <c r="Y504" s="134"/>
      <c r="AB504" s="135"/>
      <c r="AE504" s="134"/>
      <c r="AF504" s="132"/>
      <c r="AH504" s="136"/>
      <c r="AJ504" s="137"/>
      <c r="AK504" s="137"/>
      <c r="AL504" s="137"/>
    </row>
    <row r="505">
      <c r="A505" s="131"/>
      <c r="B505" s="132"/>
      <c r="C505" s="132"/>
      <c r="Q505" s="133"/>
      <c r="Y505" s="134"/>
      <c r="AB505" s="135"/>
      <c r="AE505" s="134"/>
      <c r="AF505" s="132"/>
      <c r="AH505" s="136"/>
      <c r="AJ505" s="137"/>
      <c r="AK505" s="137"/>
      <c r="AL505" s="137"/>
    </row>
    <row r="506">
      <c r="A506" s="131"/>
      <c r="B506" s="132"/>
      <c r="C506" s="132"/>
      <c r="Q506" s="133"/>
      <c r="Y506" s="134"/>
      <c r="AB506" s="135"/>
      <c r="AE506" s="134"/>
      <c r="AF506" s="132"/>
      <c r="AH506" s="136"/>
      <c r="AJ506" s="137"/>
      <c r="AK506" s="137"/>
      <c r="AL506" s="137"/>
    </row>
    <row r="507">
      <c r="A507" s="131"/>
      <c r="B507" s="132"/>
      <c r="C507" s="132"/>
      <c r="Q507" s="133"/>
      <c r="Y507" s="134"/>
      <c r="AB507" s="135"/>
      <c r="AE507" s="134"/>
      <c r="AF507" s="132"/>
      <c r="AH507" s="136"/>
      <c r="AJ507" s="137"/>
      <c r="AK507" s="137"/>
      <c r="AL507" s="137"/>
    </row>
    <row r="508">
      <c r="A508" s="131"/>
      <c r="B508" s="132"/>
      <c r="C508" s="132"/>
      <c r="Q508" s="133"/>
      <c r="Y508" s="134"/>
      <c r="AB508" s="135"/>
      <c r="AE508" s="134"/>
      <c r="AF508" s="132"/>
      <c r="AH508" s="136"/>
      <c r="AJ508" s="137"/>
      <c r="AK508" s="137"/>
      <c r="AL508" s="137"/>
    </row>
    <row r="509">
      <c r="A509" s="131"/>
      <c r="B509" s="132"/>
      <c r="C509" s="132"/>
      <c r="Q509" s="133"/>
      <c r="Y509" s="134"/>
      <c r="AB509" s="135"/>
      <c r="AE509" s="134"/>
      <c r="AF509" s="132"/>
      <c r="AH509" s="136"/>
      <c r="AJ509" s="137"/>
      <c r="AK509" s="137"/>
      <c r="AL509" s="137"/>
    </row>
    <row r="510">
      <c r="A510" s="131"/>
      <c r="B510" s="132"/>
      <c r="C510" s="132"/>
      <c r="Q510" s="133"/>
      <c r="Y510" s="134"/>
      <c r="AB510" s="135"/>
      <c r="AE510" s="134"/>
      <c r="AF510" s="132"/>
      <c r="AH510" s="136"/>
      <c r="AJ510" s="137"/>
      <c r="AK510" s="137"/>
      <c r="AL510" s="137"/>
    </row>
    <row r="511">
      <c r="A511" s="131"/>
      <c r="B511" s="132"/>
      <c r="C511" s="132"/>
      <c r="Q511" s="133"/>
      <c r="Y511" s="134"/>
      <c r="AB511" s="135"/>
      <c r="AE511" s="134"/>
      <c r="AF511" s="132"/>
      <c r="AH511" s="136"/>
      <c r="AJ511" s="137"/>
      <c r="AK511" s="137"/>
      <c r="AL511" s="137"/>
    </row>
    <row r="512">
      <c r="A512" s="131"/>
      <c r="B512" s="132"/>
      <c r="C512" s="132"/>
      <c r="Q512" s="133"/>
      <c r="Y512" s="134"/>
      <c r="AB512" s="135"/>
      <c r="AE512" s="134"/>
      <c r="AF512" s="132"/>
      <c r="AH512" s="136"/>
      <c r="AJ512" s="137"/>
      <c r="AK512" s="137"/>
      <c r="AL512" s="137"/>
    </row>
    <row r="513">
      <c r="A513" s="131"/>
      <c r="B513" s="132"/>
      <c r="C513" s="132"/>
      <c r="Q513" s="133"/>
      <c r="Y513" s="134"/>
      <c r="AB513" s="135"/>
      <c r="AE513" s="134"/>
      <c r="AF513" s="132"/>
      <c r="AH513" s="136"/>
      <c r="AJ513" s="137"/>
      <c r="AK513" s="137"/>
      <c r="AL513" s="137"/>
    </row>
    <row r="514">
      <c r="A514" s="131"/>
      <c r="B514" s="132"/>
      <c r="C514" s="132"/>
      <c r="Q514" s="133"/>
      <c r="Y514" s="134"/>
      <c r="AB514" s="135"/>
      <c r="AE514" s="134"/>
      <c r="AF514" s="132"/>
      <c r="AH514" s="136"/>
      <c r="AJ514" s="137"/>
      <c r="AK514" s="137"/>
      <c r="AL514" s="137"/>
    </row>
    <row r="515">
      <c r="A515" s="131"/>
      <c r="B515" s="132"/>
      <c r="C515" s="132"/>
      <c r="Q515" s="133"/>
      <c r="Y515" s="134"/>
      <c r="AB515" s="135"/>
      <c r="AE515" s="134"/>
      <c r="AF515" s="132"/>
      <c r="AH515" s="136"/>
      <c r="AJ515" s="137"/>
      <c r="AK515" s="137"/>
      <c r="AL515" s="137"/>
    </row>
    <row r="516">
      <c r="A516" s="131"/>
      <c r="B516" s="132"/>
      <c r="C516" s="132"/>
      <c r="Q516" s="133"/>
      <c r="Y516" s="134"/>
      <c r="AB516" s="135"/>
      <c r="AE516" s="134"/>
      <c r="AF516" s="132"/>
      <c r="AH516" s="136"/>
      <c r="AJ516" s="137"/>
      <c r="AK516" s="137"/>
      <c r="AL516" s="137"/>
    </row>
    <row r="517">
      <c r="A517" s="131"/>
      <c r="B517" s="132"/>
      <c r="C517" s="132"/>
      <c r="Q517" s="133"/>
      <c r="Y517" s="134"/>
      <c r="AB517" s="135"/>
      <c r="AE517" s="134"/>
      <c r="AF517" s="132"/>
      <c r="AH517" s="136"/>
      <c r="AJ517" s="137"/>
      <c r="AK517" s="137"/>
      <c r="AL517" s="137"/>
    </row>
    <row r="518">
      <c r="A518" s="131"/>
      <c r="B518" s="132"/>
      <c r="C518" s="132"/>
      <c r="Q518" s="133"/>
      <c r="Y518" s="134"/>
      <c r="AB518" s="135"/>
      <c r="AE518" s="134"/>
      <c r="AF518" s="132"/>
      <c r="AH518" s="136"/>
      <c r="AJ518" s="137"/>
      <c r="AK518" s="137"/>
      <c r="AL518" s="137"/>
    </row>
    <row r="519">
      <c r="A519" s="131"/>
      <c r="B519" s="132"/>
      <c r="C519" s="132"/>
      <c r="Q519" s="133"/>
      <c r="Y519" s="134"/>
      <c r="AB519" s="135"/>
      <c r="AE519" s="134"/>
      <c r="AF519" s="132"/>
      <c r="AH519" s="136"/>
      <c r="AJ519" s="137"/>
      <c r="AK519" s="137"/>
      <c r="AL519" s="137"/>
    </row>
    <row r="520">
      <c r="A520" s="131"/>
      <c r="B520" s="132"/>
      <c r="C520" s="132"/>
      <c r="Q520" s="133"/>
      <c r="Y520" s="134"/>
      <c r="AB520" s="135"/>
      <c r="AE520" s="134"/>
      <c r="AF520" s="132"/>
      <c r="AH520" s="136"/>
      <c r="AJ520" s="137"/>
      <c r="AK520" s="137"/>
      <c r="AL520" s="137"/>
    </row>
    <row r="521">
      <c r="A521" s="131"/>
      <c r="B521" s="132"/>
      <c r="C521" s="132"/>
      <c r="Q521" s="133"/>
      <c r="Y521" s="134"/>
      <c r="AB521" s="135"/>
      <c r="AE521" s="134"/>
      <c r="AF521" s="132"/>
      <c r="AH521" s="136"/>
      <c r="AJ521" s="137"/>
      <c r="AK521" s="137"/>
      <c r="AL521" s="137"/>
    </row>
    <row r="522">
      <c r="A522" s="131"/>
      <c r="B522" s="132"/>
      <c r="C522" s="132"/>
      <c r="Q522" s="133"/>
      <c r="Y522" s="134"/>
      <c r="AB522" s="135"/>
      <c r="AE522" s="134"/>
      <c r="AF522" s="132"/>
      <c r="AH522" s="136"/>
      <c r="AJ522" s="137"/>
      <c r="AK522" s="137"/>
      <c r="AL522" s="137"/>
    </row>
    <row r="523">
      <c r="A523" s="131"/>
      <c r="B523" s="132"/>
      <c r="C523" s="132"/>
      <c r="Q523" s="133"/>
      <c r="Y523" s="134"/>
      <c r="AB523" s="135"/>
      <c r="AE523" s="134"/>
      <c r="AF523" s="132"/>
      <c r="AH523" s="136"/>
      <c r="AJ523" s="137"/>
      <c r="AK523" s="137"/>
      <c r="AL523" s="137"/>
    </row>
    <row r="524">
      <c r="A524" s="131"/>
      <c r="B524" s="132"/>
      <c r="C524" s="132"/>
      <c r="Q524" s="133"/>
      <c r="Y524" s="134"/>
      <c r="AB524" s="135"/>
      <c r="AE524" s="134"/>
      <c r="AF524" s="132"/>
      <c r="AH524" s="136"/>
      <c r="AJ524" s="137"/>
      <c r="AK524" s="137"/>
      <c r="AL524" s="137"/>
    </row>
    <row r="525">
      <c r="A525" s="131"/>
      <c r="B525" s="132"/>
      <c r="C525" s="132"/>
      <c r="Q525" s="133"/>
      <c r="Y525" s="134"/>
      <c r="AB525" s="135"/>
      <c r="AE525" s="134"/>
      <c r="AF525" s="132"/>
      <c r="AH525" s="136"/>
      <c r="AJ525" s="137"/>
      <c r="AK525" s="137"/>
      <c r="AL525" s="137"/>
    </row>
    <row r="526">
      <c r="A526" s="131"/>
      <c r="B526" s="132"/>
      <c r="C526" s="132"/>
      <c r="Q526" s="133"/>
      <c r="Y526" s="134"/>
      <c r="AB526" s="135"/>
      <c r="AE526" s="134"/>
      <c r="AF526" s="132"/>
      <c r="AH526" s="136"/>
      <c r="AJ526" s="137"/>
      <c r="AK526" s="137"/>
      <c r="AL526" s="137"/>
    </row>
    <row r="527">
      <c r="A527" s="131"/>
      <c r="B527" s="132"/>
      <c r="C527" s="132"/>
      <c r="Q527" s="133"/>
      <c r="Y527" s="134"/>
      <c r="AB527" s="135"/>
      <c r="AE527" s="134"/>
      <c r="AF527" s="132"/>
      <c r="AH527" s="136"/>
      <c r="AJ527" s="137"/>
      <c r="AK527" s="137"/>
      <c r="AL527" s="137"/>
    </row>
    <row r="528">
      <c r="A528" s="131"/>
      <c r="B528" s="132"/>
      <c r="C528" s="132"/>
      <c r="Q528" s="133"/>
      <c r="Y528" s="134"/>
      <c r="AB528" s="135"/>
      <c r="AE528" s="134"/>
      <c r="AF528" s="132"/>
      <c r="AH528" s="136"/>
      <c r="AJ528" s="137"/>
      <c r="AK528" s="137"/>
      <c r="AL528" s="137"/>
    </row>
    <row r="529">
      <c r="A529" s="131"/>
      <c r="B529" s="132"/>
      <c r="C529" s="132"/>
      <c r="Q529" s="133"/>
      <c r="Y529" s="134"/>
      <c r="AB529" s="135"/>
      <c r="AE529" s="134"/>
      <c r="AF529" s="132"/>
      <c r="AH529" s="136"/>
      <c r="AJ529" s="137"/>
      <c r="AK529" s="137"/>
      <c r="AL529" s="137"/>
    </row>
    <row r="530">
      <c r="A530" s="131"/>
      <c r="B530" s="132"/>
      <c r="C530" s="132"/>
      <c r="Q530" s="133"/>
      <c r="Y530" s="134"/>
      <c r="AB530" s="135"/>
      <c r="AE530" s="134"/>
      <c r="AF530" s="132"/>
      <c r="AH530" s="136"/>
      <c r="AJ530" s="137"/>
      <c r="AK530" s="137"/>
      <c r="AL530" s="137"/>
    </row>
    <row r="531">
      <c r="A531" s="131"/>
      <c r="B531" s="132"/>
      <c r="C531" s="132"/>
      <c r="Q531" s="133"/>
      <c r="Y531" s="134"/>
      <c r="AB531" s="135"/>
      <c r="AE531" s="134"/>
      <c r="AF531" s="132"/>
      <c r="AH531" s="136"/>
      <c r="AJ531" s="137"/>
      <c r="AK531" s="137"/>
      <c r="AL531" s="137"/>
    </row>
    <row r="532">
      <c r="A532" s="131"/>
      <c r="B532" s="132"/>
      <c r="C532" s="132"/>
      <c r="Q532" s="133"/>
      <c r="Y532" s="134"/>
      <c r="AB532" s="135"/>
      <c r="AE532" s="134"/>
      <c r="AF532" s="132"/>
      <c r="AH532" s="136"/>
      <c r="AJ532" s="137"/>
      <c r="AK532" s="137"/>
      <c r="AL532" s="137"/>
    </row>
    <row r="533">
      <c r="A533" s="131"/>
      <c r="B533" s="132"/>
      <c r="C533" s="132"/>
      <c r="Q533" s="133"/>
      <c r="Y533" s="134"/>
      <c r="AB533" s="135"/>
      <c r="AE533" s="134"/>
      <c r="AF533" s="132"/>
      <c r="AH533" s="136"/>
      <c r="AJ533" s="137"/>
      <c r="AK533" s="137"/>
      <c r="AL533" s="137"/>
    </row>
    <row r="534">
      <c r="A534" s="131"/>
      <c r="B534" s="132"/>
      <c r="C534" s="132"/>
      <c r="Q534" s="133"/>
      <c r="Y534" s="134"/>
      <c r="AB534" s="135"/>
      <c r="AE534" s="134"/>
      <c r="AF534" s="132"/>
      <c r="AH534" s="136"/>
      <c r="AJ534" s="137"/>
      <c r="AK534" s="137"/>
      <c r="AL534" s="137"/>
    </row>
    <row r="535">
      <c r="A535" s="131"/>
      <c r="B535" s="132"/>
      <c r="C535" s="132"/>
      <c r="Q535" s="133"/>
      <c r="Y535" s="134"/>
      <c r="AB535" s="135"/>
      <c r="AE535" s="134"/>
      <c r="AF535" s="132"/>
      <c r="AH535" s="136"/>
      <c r="AJ535" s="137"/>
      <c r="AK535" s="137"/>
      <c r="AL535" s="137"/>
    </row>
    <row r="536">
      <c r="A536" s="131"/>
      <c r="B536" s="132"/>
      <c r="C536" s="132"/>
      <c r="Q536" s="133"/>
      <c r="Y536" s="134"/>
      <c r="AB536" s="135"/>
      <c r="AE536" s="134"/>
      <c r="AF536" s="132"/>
      <c r="AH536" s="136"/>
      <c r="AJ536" s="137"/>
      <c r="AK536" s="137"/>
      <c r="AL536" s="137"/>
    </row>
    <row r="537">
      <c r="A537" s="131"/>
      <c r="B537" s="132"/>
      <c r="C537" s="132"/>
      <c r="Q537" s="133"/>
      <c r="Y537" s="134"/>
      <c r="AB537" s="135"/>
      <c r="AE537" s="134"/>
      <c r="AF537" s="132"/>
      <c r="AH537" s="136"/>
      <c r="AJ537" s="137"/>
      <c r="AK537" s="137"/>
      <c r="AL537" s="137"/>
    </row>
    <row r="538">
      <c r="A538" s="131"/>
      <c r="B538" s="132"/>
      <c r="C538" s="132"/>
      <c r="Q538" s="133"/>
      <c r="Y538" s="134"/>
      <c r="AB538" s="135"/>
      <c r="AE538" s="134"/>
      <c r="AF538" s="132"/>
      <c r="AH538" s="136"/>
      <c r="AJ538" s="137"/>
      <c r="AK538" s="137"/>
      <c r="AL538" s="137"/>
    </row>
    <row r="539">
      <c r="A539" s="131"/>
      <c r="B539" s="132"/>
      <c r="C539" s="132"/>
      <c r="Q539" s="133"/>
      <c r="Y539" s="134"/>
      <c r="AB539" s="135"/>
      <c r="AE539" s="134"/>
      <c r="AF539" s="132"/>
      <c r="AH539" s="136"/>
      <c r="AJ539" s="137"/>
      <c r="AK539" s="137"/>
      <c r="AL539" s="137"/>
    </row>
    <row r="540">
      <c r="A540" s="131"/>
      <c r="B540" s="132"/>
      <c r="C540" s="132"/>
      <c r="Q540" s="133"/>
      <c r="Y540" s="134"/>
      <c r="AB540" s="135"/>
      <c r="AE540" s="134"/>
      <c r="AF540" s="132"/>
      <c r="AH540" s="136"/>
      <c r="AJ540" s="137"/>
      <c r="AK540" s="137"/>
      <c r="AL540" s="137"/>
    </row>
    <row r="541">
      <c r="A541" s="131"/>
      <c r="B541" s="132"/>
      <c r="C541" s="132"/>
      <c r="Q541" s="133"/>
      <c r="Y541" s="134"/>
      <c r="AB541" s="135"/>
      <c r="AE541" s="134"/>
      <c r="AF541" s="132"/>
      <c r="AH541" s="136"/>
      <c r="AJ541" s="137"/>
      <c r="AK541" s="137"/>
      <c r="AL541" s="137"/>
    </row>
    <row r="542">
      <c r="A542" s="131"/>
      <c r="B542" s="132"/>
      <c r="C542" s="132"/>
      <c r="Q542" s="133"/>
      <c r="Y542" s="134"/>
      <c r="AB542" s="135"/>
      <c r="AE542" s="134"/>
      <c r="AF542" s="132"/>
      <c r="AH542" s="136"/>
      <c r="AJ542" s="137"/>
      <c r="AK542" s="137"/>
      <c r="AL542" s="137"/>
    </row>
    <row r="543">
      <c r="A543" s="131"/>
      <c r="B543" s="132"/>
      <c r="C543" s="132"/>
      <c r="Q543" s="133"/>
      <c r="Y543" s="134"/>
      <c r="AB543" s="135"/>
      <c r="AE543" s="134"/>
      <c r="AF543" s="132"/>
      <c r="AH543" s="136"/>
      <c r="AJ543" s="137"/>
      <c r="AK543" s="137"/>
      <c r="AL543" s="137"/>
    </row>
    <row r="544">
      <c r="A544" s="131"/>
      <c r="B544" s="132"/>
      <c r="C544" s="132"/>
      <c r="Q544" s="133"/>
      <c r="Y544" s="134"/>
      <c r="AB544" s="135"/>
      <c r="AE544" s="134"/>
      <c r="AF544" s="132"/>
      <c r="AH544" s="136"/>
      <c r="AJ544" s="137"/>
      <c r="AK544" s="137"/>
      <c r="AL544" s="137"/>
    </row>
    <row r="545">
      <c r="A545" s="131"/>
      <c r="B545" s="132"/>
      <c r="C545" s="132"/>
      <c r="Q545" s="133"/>
      <c r="Y545" s="134"/>
      <c r="AB545" s="135"/>
      <c r="AE545" s="134"/>
      <c r="AF545" s="132"/>
      <c r="AH545" s="136"/>
      <c r="AJ545" s="137"/>
      <c r="AK545" s="137"/>
      <c r="AL545" s="137"/>
    </row>
    <row r="546">
      <c r="A546" s="131"/>
      <c r="B546" s="132"/>
      <c r="C546" s="132"/>
      <c r="Q546" s="133"/>
      <c r="Y546" s="134"/>
      <c r="AB546" s="135"/>
      <c r="AE546" s="134"/>
      <c r="AF546" s="132"/>
      <c r="AH546" s="136"/>
      <c r="AJ546" s="137"/>
      <c r="AK546" s="137"/>
      <c r="AL546" s="137"/>
    </row>
    <row r="547">
      <c r="A547" s="131"/>
      <c r="B547" s="132"/>
      <c r="C547" s="132"/>
      <c r="Q547" s="133"/>
      <c r="Y547" s="134"/>
      <c r="AB547" s="135"/>
      <c r="AE547" s="134"/>
      <c r="AF547" s="132"/>
      <c r="AH547" s="136"/>
      <c r="AJ547" s="137"/>
      <c r="AK547" s="137"/>
      <c r="AL547" s="137"/>
    </row>
    <row r="548">
      <c r="A548" s="131"/>
      <c r="B548" s="132"/>
      <c r="C548" s="132"/>
      <c r="Q548" s="133"/>
      <c r="Y548" s="134"/>
      <c r="AB548" s="135"/>
      <c r="AE548" s="134"/>
      <c r="AF548" s="132"/>
      <c r="AH548" s="136"/>
      <c r="AJ548" s="137"/>
      <c r="AK548" s="137"/>
      <c r="AL548" s="137"/>
    </row>
    <row r="549">
      <c r="A549" s="131"/>
      <c r="B549" s="132"/>
      <c r="C549" s="132"/>
      <c r="Q549" s="133"/>
      <c r="Y549" s="134"/>
      <c r="AB549" s="135"/>
      <c r="AE549" s="134"/>
      <c r="AF549" s="132"/>
      <c r="AH549" s="136"/>
      <c r="AJ549" s="137"/>
      <c r="AK549" s="137"/>
      <c r="AL549" s="137"/>
    </row>
    <row r="550">
      <c r="A550" s="131"/>
      <c r="B550" s="132"/>
      <c r="C550" s="132"/>
      <c r="Q550" s="133"/>
      <c r="Y550" s="134"/>
      <c r="AB550" s="135"/>
      <c r="AE550" s="134"/>
      <c r="AF550" s="132"/>
      <c r="AH550" s="136"/>
      <c r="AJ550" s="137"/>
      <c r="AK550" s="137"/>
      <c r="AL550" s="137"/>
    </row>
    <row r="551">
      <c r="A551" s="131"/>
      <c r="B551" s="132"/>
      <c r="C551" s="132"/>
      <c r="Q551" s="133"/>
      <c r="Y551" s="134"/>
      <c r="AB551" s="135"/>
      <c r="AE551" s="134"/>
      <c r="AF551" s="132"/>
      <c r="AH551" s="136"/>
      <c r="AJ551" s="137"/>
      <c r="AK551" s="137"/>
      <c r="AL551" s="137"/>
    </row>
    <row r="552">
      <c r="A552" s="131"/>
      <c r="B552" s="132"/>
      <c r="C552" s="132"/>
      <c r="Q552" s="133"/>
      <c r="Y552" s="134"/>
      <c r="AB552" s="135"/>
      <c r="AE552" s="134"/>
      <c r="AF552" s="132"/>
      <c r="AH552" s="136"/>
      <c r="AJ552" s="137"/>
      <c r="AK552" s="137"/>
      <c r="AL552" s="137"/>
    </row>
    <row r="553">
      <c r="A553" s="131"/>
      <c r="B553" s="132"/>
      <c r="C553" s="132"/>
      <c r="Q553" s="133"/>
      <c r="Y553" s="134"/>
      <c r="AB553" s="135"/>
      <c r="AE553" s="134"/>
      <c r="AF553" s="132"/>
      <c r="AH553" s="136"/>
      <c r="AJ553" s="137"/>
      <c r="AK553" s="137"/>
      <c r="AL553" s="137"/>
    </row>
    <row r="554">
      <c r="A554" s="131"/>
      <c r="B554" s="132"/>
      <c r="C554" s="132"/>
      <c r="Q554" s="133"/>
      <c r="Y554" s="134"/>
      <c r="AB554" s="135"/>
      <c r="AE554" s="134"/>
      <c r="AF554" s="132"/>
      <c r="AH554" s="136"/>
      <c r="AJ554" s="137"/>
      <c r="AK554" s="137"/>
      <c r="AL554" s="137"/>
    </row>
    <row r="555">
      <c r="A555" s="131"/>
      <c r="B555" s="132"/>
      <c r="C555" s="132"/>
      <c r="Q555" s="133"/>
      <c r="Y555" s="134"/>
      <c r="AB555" s="135"/>
      <c r="AE555" s="134"/>
      <c r="AF555" s="132"/>
      <c r="AH555" s="136"/>
      <c r="AJ555" s="137"/>
      <c r="AK555" s="137"/>
      <c r="AL555" s="137"/>
    </row>
    <row r="556">
      <c r="A556" s="131"/>
      <c r="B556" s="132"/>
      <c r="C556" s="132"/>
      <c r="Q556" s="133"/>
      <c r="Y556" s="134"/>
      <c r="AB556" s="135"/>
      <c r="AE556" s="134"/>
      <c r="AF556" s="132"/>
      <c r="AH556" s="136"/>
      <c r="AJ556" s="137"/>
      <c r="AK556" s="137"/>
      <c r="AL556" s="137"/>
    </row>
    <row r="557">
      <c r="A557" s="131"/>
      <c r="B557" s="132"/>
      <c r="C557" s="132"/>
      <c r="Q557" s="133"/>
      <c r="Y557" s="134"/>
      <c r="AB557" s="135"/>
      <c r="AE557" s="134"/>
      <c r="AF557" s="132"/>
      <c r="AH557" s="136"/>
      <c r="AJ557" s="137"/>
      <c r="AK557" s="137"/>
      <c r="AL557" s="137"/>
    </row>
    <row r="558">
      <c r="A558" s="131"/>
      <c r="B558" s="132"/>
      <c r="C558" s="132"/>
      <c r="Q558" s="133"/>
      <c r="Y558" s="134"/>
      <c r="AB558" s="135"/>
      <c r="AE558" s="134"/>
      <c r="AF558" s="132"/>
      <c r="AH558" s="136"/>
      <c r="AJ558" s="137"/>
      <c r="AK558" s="137"/>
      <c r="AL558" s="137"/>
    </row>
    <row r="559">
      <c r="A559" s="131"/>
      <c r="B559" s="132"/>
      <c r="C559" s="132"/>
      <c r="Q559" s="133"/>
      <c r="Y559" s="134"/>
      <c r="AB559" s="135"/>
      <c r="AE559" s="134"/>
      <c r="AF559" s="132"/>
      <c r="AH559" s="136"/>
      <c r="AJ559" s="137"/>
      <c r="AK559" s="137"/>
      <c r="AL559" s="137"/>
    </row>
    <row r="560">
      <c r="A560" s="131"/>
      <c r="B560" s="132"/>
      <c r="C560" s="132"/>
      <c r="Q560" s="133"/>
      <c r="Y560" s="134"/>
      <c r="AB560" s="135"/>
      <c r="AE560" s="134"/>
      <c r="AF560" s="132"/>
      <c r="AH560" s="136"/>
      <c r="AJ560" s="137"/>
      <c r="AK560" s="137"/>
      <c r="AL560" s="137"/>
    </row>
    <row r="561">
      <c r="A561" s="131"/>
      <c r="B561" s="132"/>
      <c r="C561" s="132"/>
      <c r="Q561" s="133"/>
      <c r="Y561" s="134"/>
      <c r="AB561" s="135"/>
      <c r="AE561" s="134"/>
      <c r="AF561" s="132"/>
      <c r="AH561" s="136"/>
      <c r="AJ561" s="137"/>
      <c r="AK561" s="137"/>
      <c r="AL561" s="137"/>
    </row>
    <row r="562">
      <c r="A562" s="131"/>
      <c r="B562" s="132"/>
      <c r="C562" s="132"/>
      <c r="Q562" s="133"/>
      <c r="Y562" s="134"/>
      <c r="AB562" s="135"/>
      <c r="AE562" s="134"/>
      <c r="AF562" s="132"/>
      <c r="AH562" s="136"/>
      <c r="AJ562" s="137"/>
      <c r="AK562" s="137"/>
      <c r="AL562" s="137"/>
    </row>
    <row r="563">
      <c r="A563" s="131"/>
      <c r="B563" s="132"/>
      <c r="C563" s="132"/>
      <c r="Q563" s="133"/>
      <c r="Y563" s="134"/>
      <c r="AB563" s="135"/>
      <c r="AE563" s="134"/>
      <c r="AF563" s="132"/>
      <c r="AH563" s="136"/>
      <c r="AJ563" s="137"/>
      <c r="AK563" s="137"/>
      <c r="AL563" s="137"/>
    </row>
    <row r="564">
      <c r="A564" s="131"/>
      <c r="B564" s="132"/>
      <c r="C564" s="132"/>
      <c r="Q564" s="133"/>
      <c r="Y564" s="134"/>
      <c r="AB564" s="135"/>
      <c r="AE564" s="134"/>
      <c r="AF564" s="132"/>
      <c r="AH564" s="136"/>
      <c r="AJ564" s="137"/>
      <c r="AK564" s="137"/>
      <c r="AL564" s="137"/>
    </row>
    <row r="565">
      <c r="A565" s="131"/>
      <c r="B565" s="132"/>
      <c r="C565" s="132"/>
      <c r="Q565" s="133"/>
      <c r="Y565" s="134"/>
      <c r="AB565" s="135"/>
      <c r="AE565" s="134"/>
      <c r="AF565" s="132"/>
      <c r="AH565" s="136"/>
      <c r="AJ565" s="137"/>
      <c r="AK565" s="137"/>
      <c r="AL565" s="137"/>
    </row>
    <row r="566">
      <c r="A566" s="131"/>
      <c r="B566" s="132"/>
      <c r="C566" s="132"/>
      <c r="Q566" s="133"/>
      <c r="Y566" s="134"/>
      <c r="AB566" s="135"/>
      <c r="AE566" s="134"/>
      <c r="AF566" s="132"/>
      <c r="AH566" s="136"/>
      <c r="AJ566" s="137"/>
      <c r="AK566" s="137"/>
      <c r="AL566" s="137"/>
    </row>
    <row r="567">
      <c r="A567" s="131"/>
      <c r="B567" s="132"/>
      <c r="C567" s="132"/>
      <c r="Q567" s="133"/>
      <c r="Y567" s="134"/>
      <c r="AB567" s="135"/>
      <c r="AE567" s="134"/>
      <c r="AF567" s="132"/>
      <c r="AH567" s="136"/>
      <c r="AJ567" s="137"/>
      <c r="AK567" s="137"/>
      <c r="AL567" s="137"/>
    </row>
    <row r="568">
      <c r="A568" s="131"/>
      <c r="B568" s="132"/>
      <c r="C568" s="132"/>
      <c r="Q568" s="133"/>
      <c r="Y568" s="134"/>
      <c r="AB568" s="135"/>
      <c r="AE568" s="134"/>
      <c r="AF568" s="132"/>
      <c r="AH568" s="136"/>
      <c r="AJ568" s="137"/>
      <c r="AK568" s="137"/>
      <c r="AL568" s="137"/>
    </row>
    <row r="569">
      <c r="A569" s="131"/>
      <c r="B569" s="132"/>
      <c r="C569" s="132"/>
      <c r="Q569" s="133"/>
      <c r="Y569" s="134"/>
      <c r="AB569" s="135"/>
      <c r="AE569" s="134"/>
      <c r="AF569" s="132"/>
      <c r="AH569" s="136"/>
      <c r="AJ569" s="137"/>
      <c r="AK569" s="137"/>
      <c r="AL569" s="137"/>
    </row>
    <row r="570">
      <c r="A570" s="131"/>
      <c r="B570" s="132"/>
      <c r="C570" s="132"/>
      <c r="Q570" s="133"/>
      <c r="Y570" s="134"/>
      <c r="AB570" s="135"/>
      <c r="AE570" s="134"/>
      <c r="AF570" s="132"/>
      <c r="AH570" s="136"/>
      <c r="AJ570" s="137"/>
      <c r="AK570" s="137"/>
      <c r="AL570" s="137"/>
    </row>
    <row r="571">
      <c r="A571" s="131"/>
      <c r="B571" s="132"/>
      <c r="C571" s="132"/>
      <c r="Q571" s="133"/>
      <c r="Y571" s="134"/>
      <c r="AB571" s="135"/>
      <c r="AE571" s="134"/>
      <c r="AF571" s="132"/>
      <c r="AH571" s="136"/>
      <c r="AJ571" s="137"/>
      <c r="AK571" s="137"/>
      <c r="AL571" s="137"/>
    </row>
    <row r="572">
      <c r="A572" s="131"/>
      <c r="B572" s="132"/>
      <c r="C572" s="132"/>
      <c r="Q572" s="133"/>
      <c r="Y572" s="134"/>
      <c r="AB572" s="135"/>
      <c r="AE572" s="134"/>
      <c r="AF572" s="132"/>
      <c r="AH572" s="136"/>
      <c r="AJ572" s="137"/>
      <c r="AK572" s="137"/>
      <c r="AL572" s="137"/>
    </row>
    <row r="573">
      <c r="A573" s="131"/>
      <c r="B573" s="132"/>
      <c r="C573" s="132"/>
      <c r="Q573" s="133"/>
      <c r="Y573" s="134"/>
      <c r="AB573" s="135"/>
      <c r="AE573" s="134"/>
      <c r="AF573" s="132"/>
      <c r="AH573" s="136"/>
      <c r="AJ573" s="137"/>
      <c r="AK573" s="137"/>
      <c r="AL573" s="137"/>
    </row>
    <row r="574">
      <c r="A574" s="131"/>
      <c r="B574" s="132"/>
      <c r="C574" s="132"/>
      <c r="Q574" s="133"/>
      <c r="Y574" s="134"/>
      <c r="AB574" s="135"/>
      <c r="AE574" s="134"/>
      <c r="AF574" s="132"/>
      <c r="AH574" s="136"/>
      <c r="AJ574" s="137"/>
      <c r="AK574" s="137"/>
      <c r="AL574" s="137"/>
    </row>
    <row r="575">
      <c r="A575" s="131"/>
      <c r="B575" s="132"/>
      <c r="C575" s="132"/>
      <c r="Q575" s="133"/>
      <c r="Y575" s="134"/>
      <c r="AB575" s="135"/>
      <c r="AE575" s="134"/>
      <c r="AF575" s="132"/>
      <c r="AH575" s="136"/>
      <c r="AJ575" s="137"/>
      <c r="AK575" s="137"/>
      <c r="AL575" s="137"/>
    </row>
    <row r="576">
      <c r="A576" s="131"/>
      <c r="B576" s="132"/>
      <c r="C576" s="132"/>
      <c r="Q576" s="133"/>
      <c r="Y576" s="134"/>
      <c r="AB576" s="135"/>
      <c r="AE576" s="134"/>
      <c r="AF576" s="132"/>
      <c r="AH576" s="136"/>
      <c r="AJ576" s="137"/>
      <c r="AK576" s="137"/>
      <c r="AL576" s="137"/>
    </row>
    <row r="577">
      <c r="A577" s="131"/>
      <c r="B577" s="132"/>
      <c r="C577" s="132"/>
      <c r="Q577" s="133"/>
      <c r="Y577" s="134"/>
      <c r="AB577" s="135"/>
      <c r="AE577" s="134"/>
      <c r="AF577" s="132"/>
      <c r="AH577" s="136"/>
      <c r="AJ577" s="137"/>
      <c r="AK577" s="137"/>
      <c r="AL577" s="137"/>
    </row>
    <row r="578">
      <c r="A578" s="131"/>
      <c r="B578" s="132"/>
      <c r="C578" s="132"/>
      <c r="Q578" s="133"/>
      <c r="Y578" s="134"/>
      <c r="AB578" s="135"/>
      <c r="AE578" s="134"/>
      <c r="AF578" s="132"/>
      <c r="AH578" s="136"/>
      <c r="AJ578" s="137"/>
      <c r="AK578" s="137"/>
      <c r="AL578" s="137"/>
    </row>
    <row r="579">
      <c r="A579" s="131"/>
      <c r="B579" s="132"/>
      <c r="C579" s="132"/>
      <c r="Q579" s="133"/>
      <c r="Y579" s="134"/>
      <c r="AB579" s="135"/>
      <c r="AE579" s="134"/>
      <c r="AF579" s="132"/>
      <c r="AH579" s="136"/>
      <c r="AJ579" s="137"/>
      <c r="AK579" s="137"/>
      <c r="AL579" s="137"/>
    </row>
    <row r="580">
      <c r="A580" s="131"/>
      <c r="B580" s="132"/>
      <c r="C580" s="132"/>
      <c r="Q580" s="133"/>
      <c r="Y580" s="134"/>
      <c r="AB580" s="135"/>
      <c r="AE580" s="134"/>
      <c r="AF580" s="132"/>
      <c r="AH580" s="136"/>
      <c r="AJ580" s="137"/>
      <c r="AK580" s="137"/>
      <c r="AL580" s="137"/>
    </row>
    <row r="581">
      <c r="A581" s="131"/>
      <c r="B581" s="132"/>
      <c r="C581" s="132"/>
      <c r="Q581" s="133"/>
      <c r="Y581" s="134"/>
      <c r="AB581" s="135"/>
      <c r="AE581" s="134"/>
      <c r="AF581" s="132"/>
      <c r="AH581" s="136"/>
      <c r="AJ581" s="137"/>
      <c r="AK581" s="137"/>
      <c r="AL581" s="137"/>
    </row>
    <row r="582">
      <c r="A582" s="131"/>
      <c r="B582" s="132"/>
      <c r="C582" s="132"/>
      <c r="Q582" s="133"/>
      <c r="Y582" s="134"/>
      <c r="AB582" s="135"/>
      <c r="AE582" s="134"/>
      <c r="AF582" s="132"/>
      <c r="AH582" s="136"/>
      <c r="AJ582" s="137"/>
      <c r="AK582" s="137"/>
      <c r="AL582" s="137"/>
    </row>
    <row r="583">
      <c r="A583" s="131"/>
      <c r="B583" s="132"/>
      <c r="C583" s="132"/>
      <c r="Q583" s="133"/>
      <c r="Y583" s="134"/>
      <c r="AB583" s="135"/>
      <c r="AE583" s="134"/>
      <c r="AF583" s="132"/>
      <c r="AH583" s="136"/>
      <c r="AJ583" s="137"/>
      <c r="AK583" s="137"/>
      <c r="AL583" s="137"/>
    </row>
    <row r="584">
      <c r="A584" s="131"/>
      <c r="B584" s="132"/>
      <c r="C584" s="132"/>
      <c r="Q584" s="133"/>
      <c r="Y584" s="134"/>
      <c r="AB584" s="135"/>
      <c r="AE584" s="134"/>
      <c r="AF584" s="132"/>
      <c r="AH584" s="136"/>
      <c r="AJ584" s="137"/>
      <c r="AK584" s="137"/>
      <c r="AL584" s="137"/>
    </row>
    <row r="585">
      <c r="A585" s="131"/>
      <c r="B585" s="132"/>
      <c r="C585" s="132"/>
      <c r="Q585" s="133"/>
      <c r="Y585" s="134"/>
      <c r="AB585" s="135"/>
      <c r="AE585" s="134"/>
      <c r="AF585" s="132"/>
      <c r="AH585" s="136"/>
      <c r="AJ585" s="137"/>
      <c r="AK585" s="137"/>
      <c r="AL585" s="137"/>
    </row>
    <row r="586">
      <c r="A586" s="131"/>
      <c r="B586" s="132"/>
      <c r="C586" s="132"/>
      <c r="Q586" s="133"/>
      <c r="Y586" s="134"/>
      <c r="AB586" s="135"/>
      <c r="AE586" s="134"/>
      <c r="AF586" s="132"/>
      <c r="AH586" s="136"/>
      <c r="AJ586" s="137"/>
      <c r="AK586" s="137"/>
      <c r="AL586" s="137"/>
    </row>
    <row r="587">
      <c r="A587" s="131"/>
      <c r="B587" s="132"/>
      <c r="C587" s="132"/>
      <c r="Q587" s="133"/>
      <c r="Y587" s="134"/>
      <c r="AB587" s="135"/>
      <c r="AE587" s="134"/>
      <c r="AF587" s="132"/>
      <c r="AH587" s="136"/>
      <c r="AJ587" s="137"/>
      <c r="AK587" s="137"/>
      <c r="AL587" s="137"/>
    </row>
    <row r="588">
      <c r="A588" s="131"/>
      <c r="B588" s="132"/>
      <c r="C588" s="132"/>
      <c r="Q588" s="133"/>
      <c r="Y588" s="134"/>
      <c r="AB588" s="135"/>
      <c r="AE588" s="134"/>
      <c r="AF588" s="132"/>
      <c r="AH588" s="136"/>
      <c r="AJ588" s="137"/>
      <c r="AK588" s="137"/>
      <c r="AL588" s="137"/>
    </row>
    <row r="589">
      <c r="A589" s="131"/>
      <c r="B589" s="132"/>
      <c r="C589" s="132"/>
      <c r="Q589" s="133"/>
      <c r="Y589" s="134"/>
      <c r="AB589" s="135"/>
      <c r="AE589" s="134"/>
      <c r="AF589" s="132"/>
      <c r="AH589" s="136"/>
      <c r="AJ589" s="137"/>
      <c r="AK589" s="137"/>
      <c r="AL589" s="137"/>
    </row>
    <row r="590">
      <c r="A590" s="131"/>
      <c r="B590" s="132"/>
      <c r="C590" s="132"/>
      <c r="Q590" s="133"/>
      <c r="Y590" s="134"/>
      <c r="AB590" s="135"/>
      <c r="AE590" s="134"/>
      <c r="AF590" s="132"/>
      <c r="AH590" s="136"/>
      <c r="AJ590" s="137"/>
      <c r="AK590" s="137"/>
      <c r="AL590" s="137"/>
    </row>
    <row r="591">
      <c r="A591" s="131"/>
      <c r="B591" s="132"/>
      <c r="C591" s="132"/>
      <c r="Q591" s="133"/>
      <c r="Y591" s="134"/>
      <c r="AB591" s="135"/>
      <c r="AE591" s="134"/>
      <c r="AF591" s="132"/>
      <c r="AH591" s="136"/>
      <c r="AJ591" s="137"/>
      <c r="AK591" s="137"/>
      <c r="AL591" s="137"/>
    </row>
    <row r="592">
      <c r="A592" s="131"/>
      <c r="B592" s="132"/>
      <c r="C592" s="132"/>
      <c r="Q592" s="133"/>
      <c r="Y592" s="134"/>
      <c r="AB592" s="135"/>
      <c r="AE592" s="134"/>
      <c r="AF592" s="132"/>
      <c r="AH592" s="136"/>
      <c r="AJ592" s="137"/>
      <c r="AK592" s="137"/>
      <c r="AL592" s="137"/>
    </row>
    <row r="593">
      <c r="A593" s="131"/>
      <c r="B593" s="132"/>
      <c r="C593" s="132"/>
      <c r="Q593" s="133"/>
      <c r="Y593" s="134"/>
      <c r="AB593" s="135"/>
      <c r="AE593" s="134"/>
      <c r="AF593" s="132"/>
      <c r="AH593" s="136"/>
      <c r="AJ593" s="137"/>
      <c r="AK593" s="137"/>
      <c r="AL593" s="137"/>
    </row>
    <row r="594">
      <c r="A594" s="131"/>
      <c r="B594" s="132"/>
      <c r="C594" s="132"/>
      <c r="Q594" s="133"/>
      <c r="Y594" s="134"/>
      <c r="AB594" s="135"/>
      <c r="AE594" s="134"/>
      <c r="AF594" s="132"/>
      <c r="AH594" s="136"/>
      <c r="AJ594" s="137"/>
      <c r="AK594" s="137"/>
      <c r="AL594" s="137"/>
    </row>
    <row r="595">
      <c r="A595" s="131"/>
      <c r="B595" s="132"/>
      <c r="C595" s="132"/>
      <c r="Q595" s="133"/>
      <c r="Y595" s="134"/>
      <c r="AB595" s="135"/>
      <c r="AE595" s="134"/>
      <c r="AF595" s="132"/>
      <c r="AH595" s="136"/>
      <c r="AJ595" s="137"/>
      <c r="AK595" s="137"/>
      <c r="AL595" s="137"/>
    </row>
    <row r="596">
      <c r="A596" s="131"/>
      <c r="B596" s="132"/>
      <c r="C596" s="132"/>
      <c r="Q596" s="133"/>
      <c r="Y596" s="134"/>
      <c r="AB596" s="135"/>
      <c r="AE596" s="134"/>
      <c r="AF596" s="132"/>
      <c r="AH596" s="136"/>
      <c r="AJ596" s="137"/>
      <c r="AK596" s="137"/>
      <c r="AL596" s="137"/>
    </row>
    <row r="597">
      <c r="A597" s="131"/>
      <c r="B597" s="132"/>
      <c r="C597" s="132"/>
      <c r="Q597" s="133"/>
      <c r="Y597" s="134"/>
      <c r="AB597" s="135"/>
      <c r="AE597" s="134"/>
      <c r="AF597" s="132"/>
      <c r="AH597" s="136"/>
      <c r="AJ597" s="137"/>
      <c r="AK597" s="137"/>
      <c r="AL597" s="137"/>
    </row>
    <row r="598">
      <c r="A598" s="131"/>
      <c r="B598" s="132"/>
      <c r="C598" s="132"/>
      <c r="Q598" s="133"/>
      <c r="Y598" s="134"/>
      <c r="AB598" s="135"/>
      <c r="AE598" s="134"/>
      <c r="AF598" s="132"/>
      <c r="AH598" s="136"/>
      <c r="AJ598" s="137"/>
      <c r="AK598" s="137"/>
      <c r="AL598" s="137"/>
    </row>
    <row r="599">
      <c r="A599" s="131"/>
      <c r="B599" s="132"/>
      <c r="C599" s="132"/>
      <c r="Q599" s="133"/>
      <c r="Y599" s="134"/>
      <c r="AB599" s="135"/>
      <c r="AE599" s="134"/>
      <c r="AF599" s="132"/>
      <c r="AH599" s="136"/>
      <c r="AJ599" s="137"/>
      <c r="AK599" s="137"/>
      <c r="AL599" s="137"/>
    </row>
    <row r="600">
      <c r="A600" s="131"/>
      <c r="B600" s="132"/>
      <c r="C600" s="132"/>
      <c r="Q600" s="133"/>
      <c r="Y600" s="134"/>
      <c r="AB600" s="135"/>
      <c r="AE600" s="134"/>
      <c r="AF600" s="132"/>
      <c r="AH600" s="136"/>
      <c r="AJ600" s="137"/>
      <c r="AK600" s="137"/>
      <c r="AL600" s="137"/>
    </row>
    <row r="601">
      <c r="A601" s="131"/>
      <c r="B601" s="132"/>
      <c r="C601" s="132"/>
      <c r="Q601" s="133"/>
      <c r="Y601" s="134"/>
      <c r="AB601" s="135"/>
      <c r="AE601" s="134"/>
      <c r="AF601" s="132"/>
      <c r="AH601" s="136"/>
      <c r="AJ601" s="137"/>
      <c r="AK601" s="137"/>
      <c r="AL601" s="137"/>
    </row>
    <row r="602">
      <c r="A602" s="131"/>
      <c r="B602" s="132"/>
      <c r="C602" s="132"/>
      <c r="Q602" s="133"/>
      <c r="Y602" s="134"/>
      <c r="AB602" s="135"/>
      <c r="AE602" s="134"/>
      <c r="AF602" s="132"/>
      <c r="AH602" s="136"/>
      <c r="AJ602" s="137"/>
      <c r="AK602" s="137"/>
      <c r="AL602" s="137"/>
    </row>
    <row r="603">
      <c r="A603" s="131"/>
      <c r="B603" s="132"/>
      <c r="C603" s="132"/>
      <c r="Q603" s="133"/>
      <c r="Y603" s="134"/>
      <c r="AB603" s="135"/>
      <c r="AE603" s="134"/>
      <c r="AF603" s="132"/>
      <c r="AH603" s="136"/>
      <c r="AJ603" s="137"/>
      <c r="AK603" s="137"/>
      <c r="AL603" s="137"/>
    </row>
    <row r="604">
      <c r="A604" s="131"/>
      <c r="B604" s="132"/>
      <c r="C604" s="132"/>
      <c r="Q604" s="133"/>
      <c r="Y604" s="134"/>
      <c r="AB604" s="135"/>
      <c r="AE604" s="134"/>
      <c r="AF604" s="132"/>
      <c r="AH604" s="136"/>
      <c r="AJ604" s="137"/>
      <c r="AK604" s="137"/>
      <c r="AL604" s="137"/>
    </row>
    <row r="605">
      <c r="A605" s="131"/>
      <c r="B605" s="132"/>
      <c r="C605" s="132"/>
      <c r="Q605" s="133"/>
      <c r="Y605" s="134"/>
      <c r="AB605" s="135"/>
      <c r="AE605" s="134"/>
      <c r="AF605" s="132"/>
      <c r="AH605" s="136"/>
      <c r="AJ605" s="137"/>
      <c r="AK605" s="137"/>
      <c r="AL605" s="137"/>
    </row>
    <row r="606">
      <c r="A606" s="131"/>
      <c r="B606" s="132"/>
      <c r="C606" s="132"/>
      <c r="Q606" s="133"/>
      <c r="Y606" s="134"/>
      <c r="AB606" s="135"/>
      <c r="AE606" s="134"/>
      <c r="AF606" s="132"/>
      <c r="AH606" s="136"/>
      <c r="AJ606" s="137"/>
      <c r="AK606" s="137"/>
      <c r="AL606" s="137"/>
    </row>
    <row r="607">
      <c r="A607" s="131"/>
      <c r="B607" s="132"/>
      <c r="C607" s="132"/>
      <c r="Q607" s="133"/>
      <c r="Y607" s="134"/>
      <c r="AB607" s="135"/>
      <c r="AE607" s="134"/>
      <c r="AF607" s="132"/>
      <c r="AH607" s="136"/>
      <c r="AJ607" s="137"/>
      <c r="AK607" s="137"/>
      <c r="AL607" s="137"/>
    </row>
    <row r="608">
      <c r="A608" s="131"/>
      <c r="B608" s="132"/>
      <c r="C608" s="132"/>
      <c r="Q608" s="133"/>
      <c r="Y608" s="134"/>
      <c r="AB608" s="135"/>
      <c r="AE608" s="134"/>
      <c r="AF608" s="132"/>
      <c r="AH608" s="136"/>
      <c r="AJ608" s="137"/>
      <c r="AK608" s="137"/>
      <c r="AL608" s="137"/>
    </row>
    <row r="609">
      <c r="A609" s="131"/>
      <c r="B609" s="132"/>
      <c r="C609" s="132"/>
      <c r="Q609" s="133"/>
      <c r="Y609" s="134"/>
      <c r="AB609" s="135"/>
      <c r="AE609" s="134"/>
      <c r="AF609" s="132"/>
      <c r="AH609" s="136"/>
      <c r="AJ609" s="137"/>
      <c r="AK609" s="137"/>
      <c r="AL609" s="137"/>
    </row>
    <row r="610">
      <c r="A610" s="131"/>
      <c r="B610" s="132"/>
      <c r="C610" s="132"/>
      <c r="Q610" s="133"/>
      <c r="Y610" s="134"/>
      <c r="AB610" s="135"/>
      <c r="AE610" s="134"/>
      <c r="AF610" s="132"/>
      <c r="AH610" s="136"/>
      <c r="AJ610" s="137"/>
      <c r="AK610" s="137"/>
      <c r="AL610" s="137"/>
    </row>
    <row r="611">
      <c r="A611" s="131"/>
      <c r="B611" s="132"/>
      <c r="C611" s="132"/>
      <c r="Q611" s="133"/>
      <c r="Y611" s="134"/>
      <c r="AB611" s="135"/>
      <c r="AE611" s="134"/>
      <c r="AF611" s="132"/>
      <c r="AH611" s="136"/>
      <c r="AJ611" s="137"/>
      <c r="AK611" s="137"/>
      <c r="AL611" s="137"/>
    </row>
    <row r="612">
      <c r="A612" s="131"/>
      <c r="B612" s="132"/>
      <c r="C612" s="132"/>
      <c r="Q612" s="133"/>
      <c r="Y612" s="134"/>
      <c r="AB612" s="135"/>
      <c r="AE612" s="134"/>
      <c r="AF612" s="132"/>
      <c r="AH612" s="136"/>
      <c r="AJ612" s="137"/>
      <c r="AK612" s="137"/>
      <c r="AL612" s="137"/>
    </row>
    <row r="613">
      <c r="A613" s="131"/>
      <c r="B613" s="132"/>
      <c r="C613" s="132"/>
      <c r="Q613" s="133"/>
      <c r="Y613" s="134"/>
      <c r="AB613" s="135"/>
      <c r="AE613" s="134"/>
      <c r="AF613" s="132"/>
      <c r="AH613" s="136"/>
      <c r="AJ613" s="137"/>
      <c r="AK613" s="137"/>
      <c r="AL613" s="137"/>
    </row>
    <row r="614">
      <c r="A614" s="131"/>
      <c r="B614" s="132"/>
      <c r="C614" s="132"/>
      <c r="Q614" s="133"/>
      <c r="Y614" s="134"/>
      <c r="AB614" s="135"/>
      <c r="AE614" s="134"/>
      <c r="AF614" s="132"/>
      <c r="AH614" s="136"/>
      <c r="AJ614" s="137"/>
      <c r="AK614" s="137"/>
      <c r="AL614" s="137"/>
    </row>
    <row r="615">
      <c r="A615" s="131"/>
      <c r="B615" s="132"/>
      <c r="C615" s="132"/>
      <c r="Q615" s="133"/>
      <c r="Y615" s="134"/>
      <c r="AB615" s="135"/>
      <c r="AE615" s="134"/>
      <c r="AF615" s="132"/>
      <c r="AH615" s="136"/>
      <c r="AJ615" s="137"/>
      <c r="AK615" s="137"/>
      <c r="AL615" s="137"/>
    </row>
    <row r="616">
      <c r="A616" s="131"/>
      <c r="B616" s="132"/>
      <c r="C616" s="132"/>
      <c r="Q616" s="133"/>
      <c r="Y616" s="134"/>
      <c r="AB616" s="135"/>
      <c r="AE616" s="134"/>
      <c r="AF616" s="132"/>
      <c r="AH616" s="136"/>
      <c r="AJ616" s="137"/>
      <c r="AK616" s="137"/>
      <c r="AL616" s="137"/>
    </row>
    <row r="617">
      <c r="A617" s="131"/>
      <c r="B617" s="132"/>
      <c r="C617" s="132"/>
      <c r="Q617" s="133"/>
      <c r="Y617" s="134"/>
      <c r="AB617" s="135"/>
      <c r="AE617" s="134"/>
      <c r="AF617" s="132"/>
      <c r="AH617" s="136"/>
      <c r="AJ617" s="137"/>
      <c r="AK617" s="137"/>
      <c r="AL617" s="137"/>
    </row>
    <row r="618">
      <c r="A618" s="131"/>
      <c r="B618" s="132"/>
      <c r="C618" s="132"/>
      <c r="Q618" s="133"/>
      <c r="Y618" s="134"/>
      <c r="AB618" s="135"/>
      <c r="AE618" s="134"/>
      <c r="AF618" s="132"/>
      <c r="AH618" s="136"/>
      <c r="AJ618" s="137"/>
      <c r="AK618" s="137"/>
      <c r="AL618" s="137"/>
    </row>
    <row r="619">
      <c r="A619" s="131"/>
      <c r="B619" s="132"/>
      <c r="C619" s="132"/>
      <c r="Q619" s="133"/>
      <c r="Y619" s="134"/>
      <c r="AB619" s="135"/>
      <c r="AE619" s="134"/>
      <c r="AF619" s="132"/>
      <c r="AH619" s="136"/>
      <c r="AJ619" s="137"/>
      <c r="AK619" s="137"/>
      <c r="AL619" s="137"/>
    </row>
    <row r="620">
      <c r="A620" s="131"/>
      <c r="B620" s="132"/>
      <c r="C620" s="132"/>
      <c r="Q620" s="133"/>
      <c r="Y620" s="134"/>
      <c r="AB620" s="135"/>
      <c r="AE620" s="134"/>
      <c r="AF620" s="132"/>
      <c r="AH620" s="136"/>
      <c r="AJ620" s="137"/>
      <c r="AK620" s="137"/>
      <c r="AL620" s="137"/>
    </row>
    <row r="621">
      <c r="A621" s="131"/>
      <c r="B621" s="132"/>
      <c r="C621" s="132"/>
      <c r="Q621" s="133"/>
      <c r="Y621" s="134"/>
      <c r="AB621" s="135"/>
      <c r="AE621" s="134"/>
      <c r="AF621" s="132"/>
      <c r="AH621" s="136"/>
      <c r="AJ621" s="137"/>
      <c r="AK621" s="137"/>
      <c r="AL621" s="137"/>
    </row>
    <row r="622">
      <c r="A622" s="131"/>
      <c r="B622" s="132"/>
      <c r="C622" s="132"/>
      <c r="Q622" s="133"/>
      <c r="Y622" s="134"/>
      <c r="AB622" s="135"/>
      <c r="AE622" s="134"/>
      <c r="AF622" s="132"/>
      <c r="AH622" s="136"/>
      <c r="AJ622" s="137"/>
      <c r="AK622" s="137"/>
      <c r="AL622" s="137"/>
    </row>
    <row r="623">
      <c r="A623" s="131"/>
      <c r="B623" s="132"/>
      <c r="C623" s="132"/>
      <c r="Q623" s="133"/>
      <c r="Y623" s="134"/>
      <c r="AB623" s="135"/>
      <c r="AE623" s="134"/>
      <c r="AF623" s="132"/>
      <c r="AH623" s="136"/>
      <c r="AJ623" s="137"/>
      <c r="AK623" s="137"/>
      <c r="AL623" s="137"/>
    </row>
    <row r="624">
      <c r="A624" s="131"/>
      <c r="B624" s="132"/>
      <c r="C624" s="132"/>
      <c r="Q624" s="133"/>
      <c r="Y624" s="134"/>
      <c r="AB624" s="135"/>
      <c r="AE624" s="134"/>
      <c r="AF624" s="132"/>
      <c r="AH624" s="136"/>
      <c r="AJ624" s="137"/>
      <c r="AK624" s="137"/>
      <c r="AL624" s="137"/>
    </row>
    <row r="625">
      <c r="A625" s="131"/>
      <c r="B625" s="132"/>
      <c r="C625" s="132"/>
      <c r="Q625" s="133"/>
      <c r="Y625" s="134"/>
      <c r="AB625" s="135"/>
      <c r="AE625" s="134"/>
      <c r="AF625" s="132"/>
      <c r="AH625" s="136"/>
      <c r="AJ625" s="137"/>
      <c r="AK625" s="137"/>
      <c r="AL625" s="137"/>
    </row>
    <row r="626">
      <c r="A626" s="131"/>
      <c r="B626" s="132"/>
      <c r="C626" s="132"/>
      <c r="Q626" s="133"/>
      <c r="Y626" s="134"/>
      <c r="AB626" s="135"/>
      <c r="AE626" s="134"/>
      <c r="AF626" s="132"/>
      <c r="AH626" s="136"/>
      <c r="AJ626" s="137"/>
      <c r="AK626" s="137"/>
      <c r="AL626" s="137"/>
    </row>
    <row r="627">
      <c r="A627" s="131"/>
      <c r="B627" s="132"/>
      <c r="C627" s="132"/>
      <c r="Q627" s="133"/>
      <c r="Y627" s="134"/>
      <c r="AB627" s="135"/>
      <c r="AE627" s="134"/>
      <c r="AF627" s="132"/>
      <c r="AH627" s="136"/>
      <c r="AJ627" s="137"/>
      <c r="AK627" s="137"/>
      <c r="AL627" s="137"/>
    </row>
    <row r="628">
      <c r="A628" s="131"/>
      <c r="B628" s="132"/>
      <c r="C628" s="132"/>
      <c r="Q628" s="133"/>
      <c r="Y628" s="134"/>
      <c r="AB628" s="135"/>
      <c r="AE628" s="134"/>
      <c r="AF628" s="132"/>
      <c r="AH628" s="136"/>
      <c r="AJ628" s="137"/>
      <c r="AK628" s="137"/>
      <c r="AL628" s="137"/>
    </row>
    <row r="629">
      <c r="A629" s="131"/>
      <c r="B629" s="132"/>
      <c r="C629" s="132"/>
      <c r="Q629" s="133"/>
      <c r="Y629" s="134"/>
      <c r="AB629" s="135"/>
      <c r="AE629" s="134"/>
      <c r="AF629" s="132"/>
      <c r="AH629" s="136"/>
      <c r="AJ629" s="137"/>
      <c r="AK629" s="137"/>
      <c r="AL629" s="137"/>
    </row>
    <row r="630">
      <c r="A630" s="131"/>
      <c r="B630" s="132"/>
      <c r="C630" s="132"/>
      <c r="Q630" s="133"/>
      <c r="Y630" s="134"/>
      <c r="AB630" s="135"/>
      <c r="AE630" s="134"/>
      <c r="AF630" s="132"/>
      <c r="AH630" s="136"/>
      <c r="AJ630" s="137"/>
      <c r="AK630" s="137"/>
      <c r="AL630" s="137"/>
    </row>
    <row r="631">
      <c r="A631" s="131"/>
      <c r="B631" s="132"/>
      <c r="C631" s="132"/>
      <c r="Q631" s="133"/>
      <c r="Y631" s="134"/>
      <c r="AB631" s="135"/>
      <c r="AE631" s="134"/>
      <c r="AF631" s="132"/>
      <c r="AH631" s="136"/>
      <c r="AJ631" s="137"/>
      <c r="AK631" s="137"/>
      <c r="AL631" s="137"/>
    </row>
    <row r="632">
      <c r="A632" s="131"/>
      <c r="B632" s="132"/>
      <c r="C632" s="132"/>
      <c r="Q632" s="133"/>
      <c r="Y632" s="134"/>
      <c r="AB632" s="135"/>
      <c r="AE632" s="134"/>
      <c r="AF632" s="132"/>
      <c r="AH632" s="136"/>
      <c r="AJ632" s="137"/>
      <c r="AK632" s="137"/>
      <c r="AL632" s="137"/>
    </row>
    <row r="633">
      <c r="A633" s="131"/>
      <c r="B633" s="132"/>
      <c r="C633" s="132"/>
      <c r="Q633" s="133"/>
      <c r="Y633" s="134"/>
      <c r="AB633" s="135"/>
      <c r="AE633" s="134"/>
      <c r="AF633" s="132"/>
      <c r="AH633" s="136"/>
      <c r="AJ633" s="137"/>
      <c r="AK633" s="137"/>
      <c r="AL633" s="137"/>
    </row>
    <row r="634">
      <c r="A634" s="131"/>
      <c r="B634" s="132"/>
      <c r="C634" s="132"/>
      <c r="Q634" s="133"/>
      <c r="Y634" s="134"/>
      <c r="AB634" s="135"/>
      <c r="AE634" s="134"/>
      <c r="AF634" s="132"/>
      <c r="AH634" s="136"/>
      <c r="AJ634" s="137"/>
      <c r="AK634" s="137"/>
      <c r="AL634" s="137"/>
    </row>
    <row r="635">
      <c r="A635" s="131"/>
      <c r="B635" s="132"/>
      <c r="C635" s="132"/>
      <c r="Q635" s="133"/>
      <c r="Y635" s="134"/>
      <c r="AB635" s="135"/>
      <c r="AE635" s="134"/>
      <c r="AF635" s="132"/>
      <c r="AH635" s="136"/>
      <c r="AJ635" s="137"/>
      <c r="AK635" s="137"/>
      <c r="AL635" s="137"/>
    </row>
    <row r="636">
      <c r="A636" s="131"/>
      <c r="B636" s="132"/>
      <c r="C636" s="132"/>
      <c r="Q636" s="133"/>
      <c r="Y636" s="134"/>
      <c r="AB636" s="135"/>
      <c r="AE636" s="134"/>
      <c r="AF636" s="132"/>
      <c r="AH636" s="136"/>
      <c r="AJ636" s="137"/>
      <c r="AK636" s="137"/>
      <c r="AL636" s="137"/>
    </row>
    <row r="637">
      <c r="A637" s="131"/>
      <c r="B637" s="132"/>
      <c r="C637" s="132"/>
      <c r="Q637" s="133"/>
      <c r="Y637" s="134"/>
      <c r="AB637" s="135"/>
      <c r="AE637" s="134"/>
      <c r="AF637" s="132"/>
      <c r="AH637" s="136"/>
      <c r="AJ637" s="137"/>
      <c r="AK637" s="137"/>
      <c r="AL637" s="137"/>
    </row>
    <row r="638">
      <c r="A638" s="131"/>
      <c r="B638" s="132"/>
      <c r="C638" s="132"/>
      <c r="Q638" s="133"/>
      <c r="Y638" s="134"/>
      <c r="AB638" s="135"/>
      <c r="AE638" s="134"/>
      <c r="AF638" s="132"/>
      <c r="AH638" s="136"/>
      <c r="AJ638" s="137"/>
      <c r="AK638" s="137"/>
      <c r="AL638" s="137"/>
    </row>
    <row r="639">
      <c r="A639" s="131"/>
      <c r="B639" s="132"/>
      <c r="C639" s="132"/>
      <c r="Q639" s="133"/>
      <c r="Y639" s="134"/>
      <c r="AB639" s="135"/>
      <c r="AE639" s="134"/>
      <c r="AF639" s="132"/>
      <c r="AH639" s="136"/>
      <c r="AJ639" s="137"/>
      <c r="AK639" s="137"/>
      <c r="AL639" s="137"/>
    </row>
    <row r="640">
      <c r="A640" s="131"/>
      <c r="B640" s="132"/>
      <c r="C640" s="132"/>
      <c r="Q640" s="133"/>
      <c r="Y640" s="134"/>
      <c r="AB640" s="135"/>
      <c r="AE640" s="134"/>
      <c r="AF640" s="132"/>
      <c r="AH640" s="136"/>
      <c r="AJ640" s="137"/>
      <c r="AK640" s="137"/>
      <c r="AL640" s="137"/>
    </row>
    <row r="641">
      <c r="A641" s="131"/>
      <c r="B641" s="132"/>
      <c r="C641" s="132"/>
      <c r="Q641" s="133"/>
      <c r="Y641" s="134"/>
      <c r="AB641" s="135"/>
      <c r="AE641" s="134"/>
      <c r="AF641" s="132"/>
      <c r="AH641" s="136"/>
      <c r="AJ641" s="137"/>
      <c r="AK641" s="137"/>
      <c r="AL641" s="137"/>
    </row>
    <row r="642">
      <c r="A642" s="131"/>
      <c r="B642" s="132"/>
      <c r="C642" s="132"/>
      <c r="Q642" s="133"/>
      <c r="Y642" s="134"/>
      <c r="AB642" s="135"/>
      <c r="AE642" s="134"/>
      <c r="AF642" s="132"/>
      <c r="AH642" s="136"/>
      <c r="AJ642" s="137"/>
      <c r="AK642" s="137"/>
      <c r="AL642" s="137"/>
    </row>
    <row r="643">
      <c r="A643" s="131"/>
      <c r="B643" s="132"/>
      <c r="C643" s="132"/>
      <c r="Q643" s="133"/>
      <c r="Y643" s="134"/>
      <c r="AB643" s="135"/>
      <c r="AE643" s="134"/>
      <c r="AF643" s="132"/>
      <c r="AH643" s="136"/>
      <c r="AJ643" s="137"/>
      <c r="AK643" s="137"/>
      <c r="AL643" s="137"/>
    </row>
    <row r="644">
      <c r="A644" s="131"/>
      <c r="B644" s="132"/>
      <c r="C644" s="132"/>
      <c r="Q644" s="133"/>
      <c r="Y644" s="134"/>
      <c r="AB644" s="135"/>
      <c r="AE644" s="134"/>
      <c r="AF644" s="132"/>
      <c r="AH644" s="136"/>
      <c r="AJ644" s="137"/>
      <c r="AK644" s="137"/>
      <c r="AL644" s="137"/>
    </row>
    <row r="645">
      <c r="A645" s="131"/>
      <c r="B645" s="132"/>
      <c r="C645" s="132"/>
      <c r="Q645" s="133"/>
      <c r="Y645" s="134"/>
      <c r="AB645" s="135"/>
      <c r="AE645" s="134"/>
      <c r="AF645" s="132"/>
      <c r="AH645" s="136"/>
      <c r="AJ645" s="137"/>
      <c r="AK645" s="137"/>
      <c r="AL645" s="137"/>
    </row>
    <row r="646">
      <c r="A646" s="131"/>
      <c r="B646" s="132"/>
      <c r="C646" s="132"/>
      <c r="Q646" s="133"/>
      <c r="Y646" s="134"/>
      <c r="AB646" s="135"/>
      <c r="AE646" s="134"/>
      <c r="AF646" s="132"/>
      <c r="AH646" s="136"/>
      <c r="AJ646" s="137"/>
      <c r="AK646" s="137"/>
      <c r="AL646" s="137"/>
    </row>
    <row r="647">
      <c r="A647" s="131"/>
      <c r="B647" s="132"/>
      <c r="C647" s="132"/>
      <c r="Q647" s="133"/>
      <c r="Y647" s="134"/>
      <c r="AB647" s="135"/>
      <c r="AE647" s="134"/>
      <c r="AF647" s="132"/>
      <c r="AH647" s="136"/>
      <c r="AJ647" s="137"/>
      <c r="AK647" s="137"/>
      <c r="AL647" s="137"/>
    </row>
    <row r="648">
      <c r="A648" s="131"/>
      <c r="B648" s="132"/>
      <c r="C648" s="132"/>
      <c r="Q648" s="133"/>
      <c r="Y648" s="134"/>
      <c r="AB648" s="135"/>
      <c r="AE648" s="134"/>
      <c r="AF648" s="132"/>
      <c r="AH648" s="136"/>
      <c r="AJ648" s="137"/>
      <c r="AK648" s="137"/>
      <c r="AL648" s="137"/>
    </row>
    <row r="649">
      <c r="A649" s="131"/>
      <c r="B649" s="132"/>
      <c r="C649" s="132"/>
      <c r="Q649" s="133"/>
      <c r="Y649" s="134"/>
      <c r="AB649" s="135"/>
      <c r="AE649" s="134"/>
      <c r="AF649" s="132"/>
      <c r="AH649" s="136"/>
      <c r="AJ649" s="137"/>
      <c r="AK649" s="137"/>
      <c r="AL649" s="137"/>
    </row>
    <row r="650">
      <c r="A650" s="131"/>
      <c r="B650" s="132"/>
      <c r="C650" s="132"/>
      <c r="Q650" s="133"/>
      <c r="Y650" s="134"/>
      <c r="AB650" s="135"/>
      <c r="AE650" s="134"/>
      <c r="AF650" s="132"/>
      <c r="AH650" s="136"/>
      <c r="AJ650" s="137"/>
      <c r="AK650" s="137"/>
      <c r="AL650" s="137"/>
    </row>
    <row r="651">
      <c r="A651" s="131"/>
      <c r="B651" s="132"/>
      <c r="C651" s="132"/>
      <c r="Q651" s="133"/>
      <c r="Y651" s="134"/>
      <c r="AB651" s="135"/>
      <c r="AE651" s="134"/>
      <c r="AF651" s="132"/>
      <c r="AH651" s="136"/>
      <c r="AJ651" s="137"/>
      <c r="AK651" s="137"/>
      <c r="AL651" s="137"/>
    </row>
    <row r="652">
      <c r="A652" s="131"/>
      <c r="B652" s="132"/>
      <c r="C652" s="132"/>
      <c r="Q652" s="133"/>
      <c r="Y652" s="134"/>
      <c r="AB652" s="135"/>
      <c r="AE652" s="134"/>
      <c r="AF652" s="132"/>
      <c r="AH652" s="136"/>
      <c r="AJ652" s="137"/>
      <c r="AK652" s="137"/>
      <c r="AL652" s="137"/>
    </row>
    <row r="653">
      <c r="A653" s="131"/>
      <c r="B653" s="132"/>
      <c r="C653" s="132"/>
      <c r="Q653" s="133"/>
      <c r="Y653" s="134"/>
      <c r="AB653" s="135"/>
      <c r="AE653" s="134"/>
      <c r="AF653" s="132"/>
      <c r="AH653" s="136"/>
      <c r="AJ653" s="137"/>
      <c r="AK653" s="137"/>
      <c r="AL653" s="137"/>
    </row>
    <row r="654">
      <c r="A654" s="131"/>
      <c r="B654" s="132"/>
      <c r="C654" s="132"/>
      <c r="Q654" s="133"/>
      <c r="Y654" s="134"/>
      <c r="AB654" s="135"/>
      <c r="AE654" s="134"/>
      <c r="AF654" s="132"/>
      <c r="AH654" s="136"/>
      <c r="AJ654" s="137"/>
      <c r="AK654" s="137"/>
      <c r="AL654" s="137"/>
    </row>
    <row r="655">
      <c r="A655" s="131"/>
      <c r="B655" s="132"/>
      <c r="C655" s="132"/>
      <c r="Q655" s="133"/>
      <c r="Y655" s="134"/>
      <c r="AB655" s="135"/>
      <c r="AE655" s="134"/>
      <c r="AF655" s="132"/>
      <c r="AH655" s="136"/>
      <c r="AJ655" s="137"/>
      <c r="AK655" s="137"/>
      <c r="AL655" s="137"/>
    </row>
    <row r="656">
      <c r="A656" s="131"/>
      <c r="B656" s="132"/>
      <c r="C656" s="132"/>
      <c r="Q656" s="133"/>
      <c r="Y656" s="134"/>
      <c r="AB656" s="135"/>
      <c r="AE656" s="134"/>
      <c r="AF656" s="132"/>
      <c r="AH656" s="136"/>
      <c r="AJ656" s="137"/>
      <c r="AK656" s="137"/>
      <c r="AL656" s="137"/>
    </row>
    <row r="657">
      <c r="A657" s="131"/>
      <c r="B657" s="132"/>
      <c r="C657" s="132"/>
      <c r="Q657" s="133"/>
      <c r="Y657" s="134"/>
      <c r="AB657" s="135"/>
      <c r="AE657" s="134"/>
      <c r="AF657" s="132"/>
      <c r="AH657" s="136"/>
      <c r="AJ657" s="137"/>
      <c r="AK657" s="137"/>
      <c r="AL657" s="137"/>
    </row>
    <row r="658">
      <c r="A658" s="131"/>
      <c r="B658" s="132"/>
      <c r="C658" s="132"/>
      <c r="Q658" s="133"/>
      <c r="Y658" s="134"/>
      <c r="AB658" s="135"/>
      <c r="AE658" s="134"/>
      <c r="AF658" s="132"/>
      <c r="AH658" s="136"/>
      <c r="AJ658" s="137"/>
      <c r="AK658" s="137"/>
      <c r="AL658" s="137"/>
    </row>
    <row r="659">
      <c r="A659" s="131"/>
      <c r="B659" s="132"/>
      <c r="C659" s="132"/>
      <c r="Q659" s="133"/>
      <c r="Y659" s="134"/>
      <c r="AB659" s="135"/>
      <c r="AE659" s="134"/>
      <c r="AF659" s="132"/>
      <c r="AH659" s="136"/>
      <c r="AJ659" s="137"/>
      <c r="AK659" s="137"/>
      <c r="AL659" s="137"/>
    </row>
    <row r="660">
      <c r="A660" s="131"/>
      <c r="B660" s="132"/>
      <c r="C660" s="132"/>
      <c r="Q660" s="133"/>
      <c r="Y660" s="134"/>
      <c r="AB660" s="135"/>
      <c r="AE660" s="134"/>
      <c r="AF660" s="132"/>
      <c r="AH660" s="136"/>
      <c r="AJ660" s="137"/>
      <c r="AK660" s="137"/>
      <c r="AL660" s="137"/>
    </row>
    <row r="661">
      <c r="A661" s="131"/>
      <c r="B661" s="132"/>
      <c r="C661" s="132"/>
      <c r="Q661" s="133"/>
      <c r="Y661" s="134"/>
      <c r="AB661" s="135"/>
      <c r="AE661" s="134"/>
      <c r="AF661" s="132"/>
      <c r="AH661" s="136"/>
      <c r="AJ661" s="137"/>
      <c r="AK661" s="137"/>
      <c r="AL661" s="137"/>
    </row>
    <row r="662">
      <c r="A662" s="131"/>
      <c r="B662" s="132"/>
      <c r="C662" s="132"/>
      <c r="Q662" s="133"/>
      <c r="Y662" s="134"/>
      <c r="AB662" s="135"/>
      <c r="AE662" s="134"/>
      <c r="AF662" s="132"/>
      <c r="AH662" s="136"/>
      <c r="AJ662" s="137"/>
      <c r="AK662" s="137"/>
      <c r="AL662" s="137"/>
    </row>
    <row r="663">
      <c r="A663" s="131"/>
      <c r="B663" s="132"/>
      <c r="C663" s="132"/>
      <c r="Q663" s="133"/>
      <c r="Y663" s="134"/>
      <c r="AB663" s="135"/>
      <c r="AE663" s="134"/>
      <c r="AF663" s="132"/>
      <c r="AH663" s="136"/>
      <c r="AJ663" s="137"/>
      <c r="AK663" s="137"/>
      <c r="AL663" s="137"/>
    </row>
    <row r="664">
      <c r="A664" s="131"/>
      <c r="B664" s="132"/>
      <c r="C664" s="132"/>
      <c r="Q664" s="133"/>
      <c r="Y664" s="134"/>
      <c r="AB664" s="135"/>
      <c r="AE664" s="134"/>
      <c r="AF664" s="132"/>
      <c r="AH664" s="136"/>
      <c r="AJ664" s="137"/>
      <c r="AK664" s="137"/>
      <c r="AL664" s="137"/>
    </row>
    <row r="665">
      <c r="A665" s="131"/>
      <c r="B665" s="132"/>
      <c r="C665" s="132"/>
      <c r="Q665" s="133"/>
      <c r="Y665" s="134"/>
      <c r="AB665" s="135"/>
      <c r="AE665" s="134"/>
      <c r="AF665" s="132"/>
      <c r="AH665" s="136"/>
      <c r="AJ665" s="137"/>
      <c r="AK665" s="137"/>
      <c r="AL665" s="137"/>
    </row>
    <row r="666">
      <c r="A666" s="131"/>
      <c r="B666" s="132"/>
      <c r="C666" s="132"/>
      <c r="Q666" s="133"/>
      <c r="Y666" s="134"/>
      <c r="AB666" s="135"/>
      <c r="AE666" s="134"/>
      <c r="AF666" s="132"/>
      <c r="AH666" s="136"/>
      <c r="AJ666" s="137"/>
      <c r="AK666" s="137"/>
      <c r="AL666" s="137"/>
    </row>
    <row r="667">
      <c r="A667" s="131"/>
      <c r="B667" s="132"/>
      <c r="C667" s="132"/>
      <c r="Q667" s="133"/>
      <c r="Y667" s="134"/>
      <c r="AB667" s="135"/>
      <c r="AE667" s="134"/>
      <c r="AF667" s="132"/>
      <c r="AH667" s="136"/>
      <c r="AJ667" s="137"/>
      <c r="AK667" s="137"/>
      <c r="AL667" s="137"/>
    </row>
    <row r="668">
      <c r="A668" s="131"/>
      <c r="B668" s="132"/>
      <c r="C668" s="132"/>
      <c r="Q668" s="133"/>
      <c r="Y668" s="134"/>
      <c r="AB668" s="135"/>
      <c r="AE668" s="134"/>
      <c r="AF668" s="132"/>
      <c r="AH668" s="136"/>
      <c r="AJ668" s="137"/>
      <c r="AK668" s="137"/>
      <c r="AL668" s="137"/>
    </row>
    <row r="669">
      <c r="A669" s="131"/>
      <c r="B669" s="132"/>
      <c r="C669" s="132"/>
      <c r="Q669" s="133"/>
      <c r="Y669" s="134"/>
      <c r="AB669" s="135"/>
      <c r="AE669" s="134"/>
      <c r="AF669" s="132"/>
      <c r="AH669" s="136"/>
      <c r="AJ669" s="137"/>
      <c r="AK669" s="137"/>
      <c r="AL669" s="137"/>
    </row>
    <row r="670">
      <c r="A670" s="131"/>
      <c r="B670" s="132"/>
      <c r="C670" s="132"/>
      <c r="Q670" s="133"/>
      <c r="Y670" s="134"/>
      <c r="AB670" s="135"/>
      <c r="AE670" s="134"/>
      <c r="AF670" s="132"/>
      <c r="AH670" s="136"/>
      <c r="AJ670" s="137"/>
      <c r="AK670" s="137"/>
      <c r="AL670" s="137"/>
    </row>
    <row r="671">
      <c r="A671" s="131"/>
      <c r="B671" s="132"/>
      <c r="C671" s="132"/>
      <c r="Q671" s="133"/>
      <c r="Y671" s="134"/>
      <c r="AB671" s="135"/>
      <c r="AE671" s="134"/>
      <c r="AF671" s="132"/>
      <c r="AH671" s="136"/>
      <c r="AJ671" s="137"/>
      <c r="AK671" s="137"/>
      <c r="AL671" s="137"/>
    </row>
    <row r="672">
      <c r="A672" s="131"/>
      <c r="B672" s="132"/>
      <c r="C672" s="132"/>
      <c r="Q672" s="133"/>
      <c r="Y672" s="134"/>
      <c r="AB672" s="135"/>
      <c r="AE672" s="134"/>
      <c r="AF672" s="132"/>
      <c r="AH672" s="136"/>
      <c r="AJ672" s="137"/>
      <c r="AK672" s="137"/>
      <c r="AL672" s="137"/>
    </row>
    <row r="673">
      <c r="A673" s="131"/>
      <c r="B673" s="132"/>
      <c r="C673" s="132"/>
      <c r="Q673" s="133"/>
      <c r="Y673" s="134"/>
      <c r="AB673" s="135"/>
      <c r="AE673" s="134"/>
      <c r="AF673" s="132"/>
      <c r="AH673" s="136"/>
      <c r="AJ673" s="137"/>
      <c r="AK673" s="137"/>
      <c r="AL673" s="137"/>
    </row>
    <row r="674">
      <c r="A674" s="131"/>
      <c r="B674" s="132"/>
      <c r="C674" s="132"/>
      <c r="Q674" s="133"/>
      <c r="Y674" s="134"/>
      <c r="AB674" s="135"/>
      <c r="AE674" s="134"/>
      <c r="AF674" s="132"/>
      <c r="AH674" s="136"/>
      <c r="AJ674" s="137"/>
      <c r="AK674" s="137"/>
      <c r="AL674" s="137"/>
    </row>
    <row r="675">
      <c r="A675" s="131"/>
      <c r="B675" s="132"/>
      <c r="C675" s="132"/>
      <c r="Q675" s="133"/>
      <c r="Y675" s="134"/>
      <c r="AB675" s="135"/>
      <c r="AE675" s="134"/>
      <c r="AF675" s="132"/>
      <c r="AH675" s="136"/>
      <c r="AJ675" s="137"/>
      <c r="AK675" s="137"/>
      <c r="AL675" s="137"/>
    </row>
    <row r="676">
      <c r="A676" s="131"/>
      <c r="B676" s="132"/>
      <c r="C676" s="132"/>
      <c r="Q676" s="133"/>
      <c r="Y676" s="134"/>
      <c r="AB676" s="135"/>
      <c r="AE676" s="134"/>
      <c r="AF676" s="132"/>
      <c r="AH676" s="136"/>
      <c r="AJ676" s="137"/>
      <c r="AK676" s="137"/>
      <c r="AL676" s="137"/>
    </row>
    <row r="677">
      <c r="A677" s="131"/>
      <c r="B677" s="132"/>
      <c r="C677" s="132"/>
      <c r="Q677" s="133"/>
      <c r="Y677" s="134"/>
      <c r="AB677" s="135"/>
      <c r="AE677" s="134"/>
      <c r="AF677" s="132"/>
      <c r="AH677" s="136"/>
      <c r="AJ677" s="137"/>
      <c r="AK677" s="137"/>
      <c r="AL677" s="137"/>
    </row>
    <row r="678">
      <c r="A678" s="131"/>
      <c r="B678" s="132"/>
      <c r="C678" s="132"/>
      <c r="Q678" s="133"/>
      <c r="Y678" s="134"/>
      <c r="AB678" s="135"/>
      <c r="AE678" s="134"/>
      <c r="AF678" s="132"/>
      <c r="AH678" s="136"/>
      <c r="AJ678" s="137"/>
      <c r="AK678" s="137"/>
      <c r="AL678" s="137"/>
    </row>
    <row r="679">
      <c r="A679" s="131"/>
      <c r="B679" s="132"/>
      <c r="C679" s="132"/>
      <c r="Q679" s="133"/>
      <c r="Y679" s="134"/>
      <c r="AB679" s="135"/>
      <c r="AE679" s="134"/>
      <c r="AF679" s="132"/>
      <c r="AH679" s="136"/>
      <c r="AJ679" s="137"/>
      <c r="AK679" s="137"/>
      <c r="AL679" s="137"/>
    </row>
    <row r="680">
      <c r="A680" s="131"/>
      <c r="B680" s="132"/>
      <c r="C680" s="132"/>
      <c r="Q680" s="133"/>
      <c r="Y680" s="134"/>
      <c r="AB680" s="135"/>
      <c r="AE680" s="134"/>
      <c r="AF680" s="132"/>
      <c r="AH680" s="136"/>
      <c r="AJ680" s="137"/>
      <c r="AK680" s="137"/>
      <c r="AL680" s="137"/>
    </row>
    <row r="681">
      <c r="A681" s="131"/>
      <c r="B681" s="132"/>
      <c r="C681" s="132"/>
      <c r="Q681" s="133"/>
      <c r="Y681" s="134"/>
      <c r="AB681" s="135"/>
      <c r="AE681" s="134"/>
      <c r="AF681" s="132"/>
      <c r="AH681" s="136"/>
      <c r="AJ681" s="137"/>
      <c r="AK681" s="137"/>
      <c r="AL681" s="137"/>
    </row>
    <row r="682">
      <c r="A682" s="131"/>
      <c r="B682" s="132"/>
      <c r="C682" s="132"/>
      <c r="Q682" s="133"/>
      <c r="Y682" s="134"/>
      <c r="AB682" s="135"/>
      <c r="AE682" s="134"/>
      <c r="AF682" s="132"/>
      <c r="AH682" s="136"/>
      <c r="AJ682" s="137"/>
      <c r="AK682" s="137"/>
      <c r="AL682" s="137"/>
    </row>
    <row r="683">
      <c r="A683" s="131"/>
      <c r="B683" s="132"/>
      <c r="C683" s="132"/>
      <c r="Q683" s="133"/>
      <c r="Y683" s="134"/>
      <c r="AB683" s="135"/>
      <c r="AE683" s="134"/>
      <c r="AF683" s="132"/>
      <c r="AH683" s="136"/>
      <c r="AJ683" s="137"/>
      <c r="AK683" s="137"/>
      <c r="AL683" s="137"/>
    </row>
    <row r="684">
      <c r="A684" s="131"/>
      <c r="B684" s="132"/>
      <c r="C684" s="132"/>
      <c r="Q684" s="133"/>
      <c r="Y684" s="134"/>
      <c r="AB684" s="135"/>
      <c r="AE684" s="134"/>
      <c r="AF684" s="132"/>
      <c r="AH684" s="136"/>
      <c r="AJ684" s="137"/>
      <c r="AK684" s="137"/>
      <c r="AL684" s="137"/>
    </row>
    <row r="685">
      <c r="A685" s="131"/>
      <c r="B685" s="132"/>
      <c r="C685" s="132"/>
      <c r="Q685" s="133"/>
      <c r="Y685" s="134"/>
      <c r="AB685" s="135"/>
      <c r="AE685" s="134"/>
      <c r="AF685" s="132"/>
      <c r="AH685" s="136"/>
      <c r="AJ685" s="137"/>
      <c r="AK685" s="137"/>
      <c r="AL685" s="137"/>
    </row>
    <row r="686">
      <c r="A686" s="131"/>
      <c r="B686" s="132"/>
      <c r="C686" s="132"/>
      <c r="Q686" s="133"/>
      <c r="Y686" s="134"/>
      <c r="AB686" s="135"/>
      <c r="AE686" s="134"/>
      <c r="AF686" s="132"/>
      <c r="AH686" s="136"/>
      <c r="AJ686" s="137"/>
      <c r="AK686" s="137"/>
      <c r="AL686" s="137"/>
    </row>
    <row r="687">
      <c r="A687" s="131"/>
      <c r="B687" s="132"/>
      <c r="C687" s="132"/>
      <c r="Q687" s="133"/>
      <c r="Y687" s="134"/>
      <c r="AB687" s="135"/>
      <c r="AE687" s="134"/>
      <c r="AF687" s="132"/>
      <c r="AH687" s="136"/>
      <c r="AJ687" s="137"/>
      <c r="AK687" s="137"/>
      <c r="AL687" s="137"/>
    </row>
    <row r="688">
      <c r="A688" s="131"/>
      <c r="B688" s="132"/>
      <c r="C688" s="132"/>
      <c r="Q688" s="133"/>
      <c r="Y688" s="134"/>
      <c r="AB688" s="135"/>
      <c r="AE688" s="134"/>
      <c r="AF688" s="132"/>
      <c r="AH688" s="136"/>
      <c r="AJ688" s="137"/>
      <c r="AK688" s="137"/>
      <c r="AL688" s="137"/>
    </row>
    <row r="689">
      <c r="A689" s="131"/>
      <c r="B689" s="132"/>
      <c r="C689" s="132"/>
      <c r="Q689" s="133"/>
      <c r="Y689" s="134"/>
      <c r="AB689" s="135"/>
      <c r="AE689" s="134"/>
      <c r="AF689" s="132"/>
      <c r="AH689" s="136"/>
      <c r="AJ689" s="137"/>
      <c r="AK689" s="137"/>
      <c r="AL689" s="137"/>
    </row>
    <row r="690">
      <c r="A690" s="131"/>
      <c r="B690" s="132"/>
      <c r="C690" s="132"/>
      <c r="Q690" s="133"/>
      <c r="Y690" s="134"/>
      <c r="AB690" s="135"/>
      <c r="AE690" s="134"/>
      <c r="AF690" s="132"/>
      <c r="AH690" s="136"/>
      <c r="AJ690" s="137"/>
      <c r="AK690" s="137"/>
      <c r="AL690" s="137"/>
    </row>
    <row r="691">
      <c r="A691" s="131"/>
      <c r="B691" s="132"/>
      <c r="C691" s="132"/>
      <c r="Q691" s="133"/>
      <c r="Y691" s="134"/>
      <c r="AB691" s="135"/>
      <c r="AE691" s="134"/>
      <c r="AF691" s="132"/>
      <c r="AH691" s="136"/>
      <c r="AJ691" s="137"/>
      <c r="AK691" s="137"/>
      <c r="AL691" s="137"/>
    </row>
    <row r="692">
      <c r="A692" s="131"/>
      <c r="B692" s="132"/>
      <c r="C692" s="132"/>
      <c r="Q692" s="133"/>
      <c r="Y692" s="134"/>
      <c r="AB692" s="135"/>
      <c r="AE692" s="134"/>
      <c r="AF692" s="132"/>
      <c r="AH692" s="136"/>
      <c r="AJ692" s="137"/>
      <c r="AK692" s="137"/>
      <c r="AL692" s="137"/>
    </row>
    <row r="693">
      <c r="A693" s="131"/>
      <c r="B693" s="132"/>
      <c r="C693" s="132"/>
      <c r="Q693" s="133"/>
      <c r="Y693" s="134"/>
      <c r="AB693" s="135"/>
      <c r="AE693" s="134"/>
      <c r="AF693" s="132"/>
      <c r="AH693" s="136"/>
      <c r="AJ693" s="137"/>
      <c r="AK693" s="137"/>
      <c r="AL693" s="137"/>
    </row>
    <row r="694">
      <c r="A694" s="131"/>
      <c r="B694" s="132"/>
      <c r="C694" s="132"/>
      <c r="Q694" s="133"/>
      <c r="Y694" s="134"/>
      <c r="AB694" s="135"/>
      <c r="AE694" s="134"/>
      <c r="AF694" s="132"/>
      <c r="AH694" s="136"/>
      <c r="AJ694" s="137"/>
      <c r="AK694" s="137"/>
      <c r="AL694" s="137"/>
    </row>
    <row r="695">
      <c r="A695" s="131"/>
      <c r="B695" s="132"/>
      <c r="C695" s="132"/>
      <c r="Q695" s="133"/>
      <c r="Y695" s="134"/>
      <c r="AB695" s="135"/>
      <c r="AE695" s="134"/>
      <c r="AF695" s="132"/>
      <c r="AH695" s="136"/>
      <c r="AJ695" s="137"/>
      <c r="AK695" s="137"/>
      <c r="AL695" s="137"/>
    </row>
    <row r="696">
      <c r="A696" s="131"/>
      <c r="B696" s="132"/>
      <c r="C696" s="132"/>
      <c r="Q696" s="133"/>
      <c r="Y696" s="134"/>
      <c r="AB696" s="135"/>
      <c r="AE696" s="134"/>
      <c r="AF696" s="132"/>
      <c r="AH696" s="136"/>
      <c r="AJ696" s="137"/>
      <c r="AK696" s="137"/>
      <c r="AL696" s="137"/>
    </row>
    <row r="697">
      <c r="A697" s="131"/>
      <c r="B697" s="132"/>
      <c r="C697" s="132"/>
      <c r="Q697" s="133"/>
      <c r="Y697" s="134"/>
      <c r="AB697" s="135"/>
      <c r="AE697" s="134"/>
      <c r="AF697" s="132"/>
      <c r="AH697" s="136"/>
      <c r="AJ697" s="137"/>
      <c r="AK697" s="137"/>
      <c r="AL697" s="137"/>
    </row>
    <row r="698">
      <c r="A698" s="131"/>
      <c r="B698" s="132"/>
      <c r="C698" s="132"/>
      <c r="Q698" s="133"/>
      <c r="Y698" s="134"/>
      <c r="AB698" s="135"/>
      <c r="AE698" s="134"/>
      <c r="AF698" s="132"/>
      <c r="AH698" s="136"/>
      <c r="AJ698" s="137"/>
      <c r="AK698" s="137"/>
      <c r="AL698" s="137"/>
    </row>
    <row r="699">
      <c r="A699" s="131"/>
      <c r="B699" s="132"/>
      <c r="C699" s="132"/>
      <c r="Q699" s="133"/>
      <c r="Y699" s="134"/>
      <c r="AB699" s="135"/>
      <c r="AE699" s="134"/>
      <c r="AF699" s="132"/>
      <c r="AH699" s="136"/>
      <c r="AJ699" s="137"/>
      <c r="AK699" s="137"/>
      <c r="AL699" s="137"/>
    </row>
    <row r="700">
      <c r="A700" s="131"/>
      <c r="B700" s="132"/>
      <c r="C700" s="132"/>
      <c r="Q700" s="133"/>
      <c r="Y700" s="134"/>
      <c r="AB700" s="135"/>
      <c r="AE700" s="134"/>
      <c r="AF700" s="132"/>
      <c r="AH700" s="136"/>
      <c r="AJ700" s="137"/>
      <c r="AK700" s="137"/>
      <c r="AL700" s="137"/>
    </row>
    <row r="701">
      <c r="A701" s="131"/>
      <c r="B701" s="132"/>
      <c r="C701" s="132"/>
      <c r="Q701" s="133"/>
      <c r="Y701" s="134"/>
      <c r="AB701" s="135"/>
      <c r="AE701" s="134"/>
      <c r="AF701" s="132"/>
      <c r="AH701" s="136"/>
      <c r="AJ701" s="137"/>
      <c r="AK701" s="137"/>
      <c r="AL701" s="137"/>
    </row>
    <row r="702">
      <c r="A702" s="131"/>
      <c r="B702" s="132"/>
      <c r="C702" s="132"/>
      <c r="Q702" s="133"/>
      <c r="Y702" s="134"/>
      <c r="AB702" s="135"/>
      <c r="AE702" s="134"/>
      <c r="AF702" s="132"/>
      <c r="AH702" s="136"/>
      <c r="AJ702" s="137"/>
      <c r="AK702" s="137"/>
      <c r="AL702" s="137"/>
    </row>
    <row r="703">
      <c r="A703" s="131"/>
      <c r="B703" s="132"/>
      <c r="C703" s="132"/>
      <c r="Q703" s="133"/>
      <c r="Y703" s="134"/>
      <c r="AB703" s="135"/>
      <c r="AE703" s="134"/>
      <c r="AF703" s="132"/>
      <c r="AH703" s="136"/>
      <c r="AJ703" s="137"/>
      <c r="AK703" s="137"/>
      <c r="AL703" s="137"/>
    </row>
    <row r="704">
      <c r="A704" s="131"/>
      <c r="B704" s="132"/>
      <c r="C704" s="132"/>
      <c r="Q704" s="133"/>
      <c r="Y704" s="134"/>
      <c r="AB704" s="135"/>
      <c r="AE704" s="134"/>
      <c r="AF704" s="132"/>
      <c r="AH704" s="136"/>
      <c r="AJ704" s="137"/>
      <c r="AK704" s="137"/>
      <c r="AL704" s="137"/>
    </row>
    <row r="705">
      <c r="A705" s="131"/>
      <c r="B705" s="132"/>
      <c r="C705" s="132"/>
      <c r="Q705" s="133"/>
      <c r="Y705" s="134"/>
      <c r="AB705" s="135"/>
      <c r="AE705" s="134"/>
      <c r="AF705" s="132"/>
      <c r="AH705" s="136"/>
      <c r="AJ705" s="137"/>
      <c r="AK705" s="137"/>
      <c r="AL705" s="137"/>
    </row>
    <row r="706">
      <c r="A706" s="131"/>
      <c r="B706" s="132"/>
      <c r="C706" s="132"/>
      <c r="Q706" s="133"/>
      <c r="Y706" s="134"/>
      <c r="AB706" s="135"/>
      <c r="AE706" s="134"/>
      <c r="AF706" s="132"/>
      <c r="AH706" s="136"/>
      <c r="AJ706" s="137"/>
      <c r="AK706" s="137"/>
      <c r="AL706" s="137"/>
    </row>
    <row r="707">
      <c r="A707" s="131"/>
      <c r="B707" s="132"/>
      <c r="C707" s="132"/>
      <c r="Q707" s="133"/>
      <c r="Y707" s="134"/>
      <c r="AB707" s="135"/>
      <c r="AE707" s="134"/>
      <c r="AF707" s="132"/>
      <c r="AH707" s="136"/>
      <c r="AJ707" s="137"/>
      <c r="AK707" s="137"/>
      <c r="AL707" s="137"/>
    </row>
    <row r="708">
      <c r="A708" s="131"/>
      <c r="B708" s="132"/>
      <c r="C708" s="132"/>
      <c r="Q708" s="133"/>
      <c r="Y708" s="134"/>
      <c r="AB708" s="135"/>
      <c r="AE708" s="134"/>
      <c r="AF708" s="132"/>
      <c r="AH708" s="136"/>
      <c r="AJ708" s="137"/>
      <c r="AK708" s="137"/>
      <c r="AL708" s="137"/>
    </row>
    <row r="709">
      <c r="A709" s="131"/>
      <c r="B709" s="132"/>
      <c r="C709" s="132"/>
      <c r="Q709" s="133"/>
      <c r="Y709" s="134"/>
      <c r="AB709" s="135"/>
      <c r="AE709" s="134"/>
      <c r="AF709" s="132"/>
      <c r="AH709" s="136"/>
      <c r="AJ709" s="137"/>
      <c r="AK709" s="137"/>
      <c r="AL709" s="137"/>
    </row>
    <row r="710">
      <c r="A710" s="131"/>
      <c r="B710" s="132"/>
      <c r="C710" s="132"/>
      <c r="Q710" s="133"/>
      <c r="Y710" s="134"/>
      <c r="AB710" s="135"/>
      <c r="AE710" s="134"/>
      <c r="AF710" s="132"/>
      <c r="AH710" s="136"/>
      <c r="AJ710" s="137"/>
      <c r="AK710" s="137"/>
      <c r="AL710" s="137"/>
    </row>
    <row r="711">
      <c r="A711" s="131"/>
      <c r="B711" s="132"/>
      <c r="C711" s="132"/>
      <c r="Q711" s="133"/>
      <c r="Y711" s="134"/>
      <c r="AB711" s="135"/>
      <c r="AE711" s="134"/>
      <c r="AF711" s="132"/>
      <c r="AH711" s="136"/>
      <c r="AJ711" s="137"/>
      <c r="AK711" s="137"/>
      <c r="AL711" s="137"/>
    </row>
    <row r="712">
      <c r="A712" s="131"/>
      <c r="B712" s="132"/>
      <c r="C712" s="132"/>
      <c r="Q712" s="133"/>
      <c r="Y712" s="134"/>
      <c r="AB712" s="135"/>
      <c r="AE712" s="134"/>
      <c r="AF712" s="132"/>
      <c r="AH712" s="136"/>
      <c r="AJ712" s="137"/>
      <c r="AK712" s="137"/>
      <c r="AL712" s="137"/>
    </row>
    <row r="713">
      <c r="A713" s="131"/>
      <c r="B713" s="132"/>
      <c r="C713" s="132"/>
      <c r="Q713" s="133"/>
      <c r="Y713" s="134"/>
      <c r="AB713" s="135"/>
      <c r="AE713" s="134"/>
      <c r="AF713" s="132"/>
      <c r="AH713" s="136"/>
      <c r="AJ713" s="137"/>
      <c r="AK713" s="137"/>
      <c r="AL713" s="137"/>
    </row>
    <row r="714">
      <c r="A714" s="131"/>
      <c r="B714" s="132"/>
      <c r="C714" s="132"/>
      <c r="Q714" s="133"/>
      <c r="Y714" s="134"/>
      <c r="AB714" s="135"/>
      <c r="AE714" s="134"/>
      <c r="AF714" s="132"/>
      <c r="AH714" s="136"/>
      <c r="AJ714" s="137"/>
      <c r="AK714" s="137"/>
      <c r="AL714" s="137"/>
    </row>
    <row r="715">
      <c r="A715" s="131"/>
      <c r="B715" s="132"/>
      <c r="C715" s="132"/>
      <c r="Q715" s="133"/>
      <c r="Y715" s="134"/>
      <c r="AB715" s="135"/>
      <c r="AE715" s="134"/>
      <c r="AF715" s="132"/>
      <c r="AH715" s="136"/>
      <c r="AJ715" s="137"/>
      <c r="AK715" s="137"/>
      <c r="AL715" s="137"/>
    </row>
    <row r="716">
      <c r="A716" s="131"/>
      <c r="B716" s="132"/>
      <c r="C716" s="132"/>
      <c r="Q716" s="133"/>
      <c r="Y716" s="134"/>
      <c r="AB716" s="135"/>
      <c r="AE716" s="134"/>
      <c r="AF716" s="132"/>
      <c r="AH716" s="136"/>
      <c r="AJ716" s="137"/>
      <c r="AK716" s="137"/>
      <c r="AL716" s="137"/>
    </row>
    <row r="717">
      <c r="A717" s="131"/>
      <c r="B717" s="132"/>
      <c r="C717" s="132"/>
      <c r="Q717" s="133"/>
      <c r="Y717" s="134"/>
      <c r="AB717" s="135"/>
      <c r="AE717" s="134"/>
      <c r="AF717" s="132"/>
      <c r="AH717" s="136"/>
      <c r="AJ717" s="137"/>
      <c r="AK717" s="137"/>
      <c r="AL717" s="137"/>
    </row>
    <row r="718">
      <c r="A718" s="131"/>
      <c r="B718" s="132"/>
      <c r="C718" s="132"/>
      <c r="Q718" s="133"/>
      <c r="Y718" s="134"/>
      <c r="AB718" s="135"/>
      <c r="AE718" s="134"/>
      <c r="AF718" s="132"/>
      <c r="AH718" s="136"/>
      <c r="AJ718" s="137"/>
      <c r="AK718" s="137"/>
      <c r="AL718" s="137"/>
    </row>
    <row r="719">
      <c r="A719" s="131"/>
      <c r="B719" s="132"/>
      <c r="C719" s="132"/>
      <c r="Q719" s="133"/>
      <c r="Y719" s="134"/>
      <c r="AB719" s="135"/>
      <c r="AE719" s="134"/>
      <c r="AF719" s="132"/>
      <c r="AH719" s="136"/>
      <c r="AJ719" s="137"/>
      <c r="AK719" s="137"/>
      <c r="AL719" s="137"/>
    </row>
    <row r="720">
      <c r="A720" s="131"/>
      <c r="B720" s="132"/>
      <c r="C720" s="132"/>
      <c r="Q720" s="133"/>
      <c r="Y720" s="134"/>
      <c r="AB720" s="135"/>
      <c r="AE720" s="134"/>
      <c r="AF720" s="132"/>
      <c r="AH720" s="136"/>
      <c r="AJ720" s="137"/>
      <c r="AK720" s="137"/>
      <c r="AL720" s="137"/>
    </row>
    <row r="721">
      <c r="A721" s="131"/>
      <c r="B721" s="132"/>
      <c r="C721" s="132"/>
      <c r="Q721" s="133"/>
      <c r="Y721" s="134"/>
      <c r="AB721" s="135"/>
      <c r="AE721" s="134"/>
      <c r="AF721" s="132"/>
      <c r="AH721" s="136"/>
      <c r="AJ721" s="137"/>
      <c r="AK721" s="137"/>
      <c r="AL721" s="137"/>
    </row>
    <row r="722">
      <c r="A722" s="131"/>
      <c r="B722" s="132"/>
      <c r="C722" s="132"/>
      <c r="Q722" s="133"/>
      <c r="Y722" s="134"/>
      <c r="AB722" s="135"/>
      <c r="AE722" s="134"/>
      <c r="AF722" s="132"/>
      <c r="AH722" s="136"/>
      <c r="AJ722" s="137"/>
      <c r="AK722" s="137"/>
      <c r="AL722" s="137"/>
    </row>
    <row r="723">
      <c r="A723" s="131"/>
      <c r="B723" s="132"/>
      <c r="C723" s="132"/>
      <c r="Q723" s="133"/>
      <c r="Y723" s="134"/>
      <c r="AB723" s="135"/>
      <c r="AE723" s="134"/>
      <c r="AF723" s="132"/>
      <c r="AH723" s="136"/>
      <c r="AJ723" s="137"/>
      <c r="AK723" s="137"/>
      <c r="AL723" s="137"/>
    </row>
    <row r="724">
      <c r="A724" s="131"/>
      <c r="B724" s="132"/>
      <c r="C724" s="132"/>
      <c r="Q724" s="133"/>
      <c r="Y724" s="134"/>
      <c r="AB724" s="135"/>
      <c r="AE724" s="134"/>
      <c r="AF724" s="132"/>
      <c r="AH724" s="136"/>
      <c r="AJ724" s="137"/>
      <c r="AK724" s="137"/>
      <c r="AL724" s="137"/>
    </row>
    <row r="725">
      <c r="A725" s="131"/>
      <c r="B725" s="132"/>
      <c r="C725" s="132"/>
      <c r="Q725" s="133"/>
      <c r="Y725" s="134"/>
      <c r="AB725" s="135"/>
      <c r="AE725" s="134"/>
      <c r="AF725" s="132"/>
      <c r="AH725" s="136"/>
      <c r="AJ725" s="137"/>
      <c r="AK725" s="137"/>
      <c r="AL725" s="137"/>
    </row>
    <row r="726">
      <c r="A726" s="131"/>
      <c r="B726" s="132"/>
      <c r="C726" s="132"/>
      <c r="Q726" s="133"/>
      <c r="Y726" s="134"/>
      <c r="AB726" s="135"/>
      <c r="AE726" s="134"/>
      <c r="AF726" s="132"/>
      <c r="AH726" s="136"/>
      <c r="AJ726" s="137"/>
      <c r="AK726" s="137"/>
      <c r="AL726" s="137"/>
    </row>
    <row r="727">
      <c r="A727" s="131"/>
      <c r="B727" s="132"/>
      <c r="C727" s="132"/>
      <c r="Q727" s="133"/>
      <c r="Y727" s="134"/>
      <c r="AB727" s="135"/>
      <c r="AE727" s="134"/>
      <c r="AF727" s="132"/>
      <c r="AH727" s="136"/>
      <c r="AJ727" s="137"/>
      <c r="AK727" s="137"/>
      <c r="AL727" s="137"/>
    </row>
    <row r="728">
      <c r="A728" s="131"/>
      <c r="B728" s="132"/>
      <c r="C728" s="132"/>
      <c r="Q728" s="133"/>
      <c r="Y728" s="134"/>
      <c r="AB728" s="135"/>
      <c r="AE728" s="134"/>
      <c r="AF728" s="132"/>
      <c r="AH728" s="136"/>
      <c r="AJ728" s="137"/>
      <c r="AK728" s="137"/>
      <c r="AL728" s="137"/>
    </row>
    <row r="729">
      <c r="A729" s="131"/>
      <c r="B729" s="132"/>
      <c r="C729" s="132"/>
      <c r="Q729" s="133"/>
      <c r="Y729" s="134"/>
      <c r="AB729" s="135"/>
      <c r="AE729" s="134"/>
      <c r="AF729" s="132"/>
      <c r="AH729" s="136"/>
      <c r="AJ729" s="137"/>
      <c r="AK729" s="137"/>
      <c r="AL729" s="137"/>
    </row>
    <row r="730">
      <c r="A730" s="131"/>
      <c r="B730" s="132"/>
      <c r="C730" s="132"/>
      <c r="Q730" s="133"/>
      <c r="Y730" s="134"/>
      <c r="AB730" s="135"/>
      <c r="AE730" s="134"/>
      <c r="AF730" s="132"/>
      <c r="AH730" s="136"/>
      <c r="AJ730" s="137"/>
      <c r="AK730" s="137"/>
      <c r="AL730" s="137"/>
    </row>
    <row r="731">
      <c r="A731" s="131"/>
      <c r="B731" s="132"/>
      <c r="C731" s="132"/>
      <c r="Q731" s="133"/>
      <c r="Y731" s="134"/>
      <c r="AB731" s="135"/>
      <c r="AE731" s="134"/>
      <c r="AF731" s="132"/>
      <c r="AH731" s="136"/>
      <c r="AJ731" s="137"/>
      <c r="AK731" s="137"/>
      <c r="AL731" s="137"/>
    </row>
    <row r="732">
      <c r="A732" s="131"/>
      <c r="B732" s="132"/>
      <c r="C732" s="132"/>
      <c r="Q732" s="133"/>
      <c r="Y732" s="134"/>
      <c r="AB732" s="135"/>
      <c r="AE732" s="134"/>
      <c r="AF732" s="132"/>
      <c r="AH732" s="136"/>
      <c r="AJ732" s="137"/>
      <c r="AK732" s="137"/>
      <c r="AL732" s="137"/>
    </row>
    <row r="733">
      <c r="A733" s="131"/>
      <c r="B733" s="132"/>
      <c r="C733" s="132"/>
      <c r="Q733" s="133"/>
      <c r="Y733" s="134"/>
      <c r="AB733" s="135"/>
      <c r="AE733" s="134"/>
      <c r="AF733" s="132"/>
      <c r="AH733" s="136"/>
      <c r="AJ733" s="137"/>
      <c r="AK733" s="137"/>
      <c r="AL733" s="137"/>
    </row>
    <row r="734">
      <c r="A734" s="131"/>
      <c r="B734" s="132"/>
      <c r="C734" s="132"/>
      <c r="Q734" s="133"/>
      <c r="Y734" s="134"/>
      <c r="AB734" s="135"/>
      <c r="AE734" s="134"/>
      <c r="AF734" s="132"/>
      <c r="AH734" s="136"/>
      <c r="AJ734" s="137"/>
      <c r="AK734" s="137"/>
      <c r="AL734" s="137"/>
    </row>
    <row r="735">
      <c r="A735" s="131"/>
      <c r="B735" s="132"/>
      <c r="C735" s="132"/>
      <c r="Q735" s="133"/>
      <c r="Y735" s="134"/>
      <c r="AB735" s="135"/>
      <c r="AE735" s="134"/>
      <c r="AF735" s="132"/>
      <c r="AH735" s="136"/>
      <c r="AJ735" s="137"/>
      <c r="AK735" s="137"/>
      <c r="AL735" s="137"/>
    </row>
    <row r="736">
      <c r="A736" s="131"/>
      <c r="B736" s="132"/>
      <c r="C736" s="132"/>
      <c r="Q736" s="133"/>
      <c r="Y736" s="134"/>
      <c r="AB736" s="135"/>
      <c r="AE736" s="134"/>
      <c r="AF736" s="132"/>
      <c r="AH736" s="136"/>
      <c r="AJ736" s="137"/>
      <c r="AK736" s="137"/>
      <c r="AL736" s="137"/>
    </row>
    <row r="737">
      <c r="A737" s="131"/>
      <c r="B737" s="132"/>
      <c r="C737" s="132"/>
      <c r="Q737" s="133"/>
      <c r="Y737" s="134"/>
      <c r="AB737" s="135"/>
      <c r="AE737" s="134"/>
      <c r="AF737" s="132"/>
      <c r="AH737" s="136"/>
      <c r="AJ737" s="137"/>
      <c r="AK737" s="137"/>
      <c r="AL737" s="137"/>
    </row>
    <row r="738">
      <c r="A738" s="131"/>
      <c r="B738" s="132"/>
      <c r="C738" s="132"/>
      <c r="Q738" s="133"/>
      <c r="Y738" s="134"/>
      <c r="AB738" s="135"/>
      <c r="AE738" s="134"/>
      <c r="AF738" s="132"/>
      <c r="AH738" s="136"/>
      <c r="AJ738" s="137"/>
      <c r="AK738" s="137"/>
      <c r="AL738" s="137"/>
    </row>
    <row r="739">
      <c r="A739" s="131"/>
      <c r="B739" s="132"/>
      <c r="C739" s="132"/>
      <c r="Q739" s="133"/>
      <c r="Y739" s="134"/>
      <c r="AB739" s="135"/>
      <c r="AE739" s="134"/>
      <c r="AF739" s="132"/>
      <c r="AH739" s="136"/>
      <c r="AJ739" s="137"/>
      <c r="AK739" s="137"/>
      <c r="AL739" s="137"/>
    </row>
    <row r="740">
      <c r="A740" s="131"/>
      <c r="B740" s="132"/>
      <c r="C740" s="132"/>
      <c r="Q740" s="133"/>
      <c r="Y740" s="134"/>
      <c r="AB740" s="135"/>
      <c r="AE740" s="134"/>
      <c r="AF740" s="132"/>
      <c r="AH740" s="136"/>
      <c r="AJ740" s="137"/>
      <c r="AK740" s="137"/>
      <c r="AL740" s="137"/>
    </row>
    <row r="741">
      <c r="A741" s="131"/>
      <c r="B741" s="132"/>
      <c r="C741" s="132"/>
      <c r="Q741" s="133"/>
      <c r="Y741" s="134"/>
      <c r="AB741" s="135"/>
      <c r="AE741" s="134"/>
      <c r="AF741" s="132"/>
      <c r="AH741" s="136"/>
      <c r="AJ741" s="137"/>
      <c r="AK741" s="137"/>
      <c r="AL741" s="137"/>
    </row>
    <row r="742">
      <c r="A742" s="131"/>
      <c r="B742" s="132"/>
      <c r="C742" s="132"/>
      <c r="Q742" s="133"/>
      <c r="Y742" s="134"/>
      <c r="AB742" s="135"/>
      <c r="AE742" s="134"/>
      <c r="AF742" s="132"/>
      <c r="AH742" s="136"/>
      <c r="AJ742" s="137"/>
      <c r="AK742" s="137"/>
      <c r="AL742" s="137"/>
    </row>
    <row r="743">
      <c r="A743" s="131"/>
      <c r="B743" s="132"/>
      <c r="C743" s="132"/>
      <c r="Q743" s="133"/>
      <c r="Y743" s="134"/>
      <c r="AB743" s="135"/>
      <c r="AE743" s="134"/>
      <c r="AF743" s="132"/>
      <c r="AH743" s="136"/>
      <c r="AJ743" s="137"/>
      <c r="AK743" s="137"/>
      <c r="AL743" s="137"/>
    </row>
    <row r="744">
      <c r="A744" s="131"/>
      <c r="B744" s="132"/>
      <c r="C744" s="132"/>
      <c r="Q744" s="133"/>
      <c r="Y744" s="134"/>
      <c r="AB744" s="135"/>
      <c r="AE744" s="134"/>
      <c r="AF744" s="132"/>
      <c r="AH744" s="136"/>
      <c r="AJ744" s="137"/>
      <c r="AK744" s="137"/>
      <c r="AL744" s="137"/>
    </row>
    <row r="745">
      <c r="A745" s="131"/>
      <c r="B745" s="132"/>
      <c r="C745" s="132"/>
      <c r="Q745" s="133"/>
      <c r="Y745" s="134"/>
      <c r="AB745" s="135"/>
      <c r="AE745" s="134"/>
      <c r="AF745" s="132"/>
      <c r="AH745" s="136"/>
      <c r="AJ745" s="137"/>
      <c r="AK745" s="137"/>
      <c r="AL745" s="137"/>
    </row>
    <row r="746">
      <c r="A746" s="131"/>
      <c r="B746" s="132"/>
      <c r="C746" s="132"/>
      <c r="Q746" s="133"/>
      <c r="Y746" s="134"/>
      <c r="AB746" s="135"/>
      <c r="AE746" s="134"/>
      <c r="AF746" s="132"/>
      <c r="AH746" s="136"/>
      <c r="AJ746" s="137"/>
      <c r="AK746" s="137"/>
      <c r="AL746" s="137"/>
    </row>
    <row r="747">
      <c r="A747" s="131"/>
      <c r="B747" s="132"/>
      <c r="C747" s="132"/>
      <c r="Q747" s="133"/>
      <c r="Y747" s="134"/>
      <c r="AB747" s="135"/>
      <c r="AE747" s="134"/>
      <c r="AF747" s="132"/>
      <c r="AH747" s="136"/>
      <c r="AJ747" s="137"/>
      <c r="AK747" s="137"/>
      <c r="AL747" s="137"/>
    </row>
    <row r="748">
      <c r="A748" s="131"/>
      <c r="B748" s="132"/>
      <c r="C748" s="132"/>
      <c r="Q748" s="133"/>
      <c r="Y748" s="134"/>
      <c r="AB748" s="135"/>
      <c r="AE748" s="134"/>
      <c r="AF748" s="132"/>
      <c r="AH748" s="136"/>
      <c r="AJ748" s="137"/>
      <c r="AK748" s="137"/>
      <c r="AL748" s="137"/>
    </row>
    <row r="749">
      <c r="A749" s="131"/>
      <c r="B749" s="132"/>
      <c r="C749" s="132"/>
      <c r="Q749" s="133"/>
      <c r="Y749" s="134"/>
      <c r="AB749" s="135"/>
      <c r="AE749" s="134"/>
      <c r="AF749" s="132"/>
      <c r="AH749" s="136"/>
      <c r="AJ749" s="137"/>
      <c r="AK749" s="137"/>
      <c r="AL749" s="137"/>
    </row>
    <row r="750">
      <c r="A750" s="131"/>
      <c r="B750" s="132"/>
      <c r="C750" s="132"/>
      <c r="Q750" s="133"/>
      <c r="Y750" s="134"/>
      <c r="AB750" s="135"/>
      <c r="AE750" s="134"/>
      <c r="AF750" s="132"/>
      <c r="AH750" s="136"/>
      <c r="AJ750" s="137"/>
      <c r="AK750" s="137"/>
      <c r="AL750" s="137"/>
    </row>
    <row r="751">
      <c r="A751" s="131"/>
      <c r="B751" s="132"/>
      <c r="C751" s="132"/>
      <c r="Q751" s="133"/>
      <c r="Y751" s="134"/>
      <c r="AB751" s="135"/>
      <c r="AE751" s="134"/>
      <c r="AF751" s="132"/>
      <c r="AH751" s="136"/>
      <c r="AJ751" s="137"/>
      <c r="AK751" s="137"/>
      <c r="AL751" s="137"/>
    </row>
    <row r="752">
      <c r="A752" s="131"/>
      <c r="B752" s="132"/>
      <c r="C752" s="132"/>
      <c r="Q752" s="133"/>
      <c r="Y752" s="134"/>
      <c r="AB752" s="135"/>
      <c r="AE752" s="134"/>
      <c r="AF752" s="132"/>
      <c r="AH752" s="136"/>
      <c r="AJ752" s="137"/>
      <c r="AK752" s="137"/>
      <c r="AL752" s="137"/>
    </row>
    <row r="753">
      <c r="A753" s="131"/>
      <c r="B753" s="132"/>
      <c r="C753" s="132"/>
      <c r="Q753" s="133"/>
      <c r="Y753" s="134"/>
      <c r="AB753" s="135"/>
      <c r="AE753" s="134"/>
      <c r="AF753" s="132"/>
      <c r="AH753" s="136"/>
      <c r="AJ753" s="137"/>
      <c r="AK753" s="137"/>
      <c r="AL753" s="137"/>
    </row>
    <row r="754">
      <c r="A754" s="131"/>
      <c r="B754" s="132"/>
      <c r="C754" s="132"/>
      <c r="Q754" s="133"/>
      <c r="Y754" s="134"/>
      <c r="AB754" s="135"/>
      <c r="AE754" s="134"/>
      <c r="AF754" s="132"/>
      <c r="AH754" s="136"/>
      <c r="AJ754" s="137"/>
      <c r="AK754" s="137"/>
      <c r="AL754" s="137"/>
    </row>
    <row r="755">
      <c r="A755" s="131"/>
      <c r="B755" s="132"/>
      <c r="C755" s="132"/>
      <c r="Q755" s="133"/>
      <c r="Y755" s="134"/>
      <c r="AB755" s="135"/>
      <c r="AE755" s="134"/>
      <c r="AF755" s="132"/>
      <c r="AH755" s="136"/>
      <c r="AJ755" s="137"/>
      <c r="AK755" s="137"/>
      <c r="AL755" s="137"/>
    </row>
    <row r="756">
      <c r="A756" s="131"/>
      <c r="B756" s="132"/>
      <c r="C756" s="132"/>
      <c r="Q756" s="133"/>
      <c r="Y756" s="134"/>
      <c r="AB756" s="135"/>
      <c r="AE756" s="134"/>
      <c r="AF756" s="132"/>
      <c r="AH756" s="136"/>
      <c r="AJ756" s="137"/>
      <c r="AK756" s="137"/>
      <c r="AL756" s="137"/>
    </row>
    <row r="757">
      <c r="A757" s="131"/>
      <c r="B757" s="132"/>
      <c r="C757" s="132"/>
      <c r="Q757" s="133"/>
      <c r="Y757" s="134"/>
      <c r="AB757" s="135"/>
      <c r="AE757" s="134"/>
      <c r="AF757" s="132"/>
      <c r="AH757" s="136"/>
      <c r="AJ757" s="137"/>
      <c r="AK757" s="137"/>
      <c r="AL757" s="137"/>
    </row>
    <row r="758">
      <c r="A758" s="131"/>
      <c r="B758" s="132"/>
      <c r="C758" s="132"/>
      <c r="Q758" s="133"/>
      <c r="Y758" s="134"/>
      <c r="AB758" s="135"/>
      <c r="AE758" s="134"/>
      <c r="AF758" s="132"/>
      <c r="AH758" s="136"/>
      <c r="AJ758" s="137"/>
      <c r="AK758" s="137"/>
      <c r="AL758" s="137"/>
    </row>
    <row r="759">
      <c r="A759" s="131"/>
      <c r="B759" s="132"/>
      <c r="C759" s="132"/>
      <c r="Q759" s="133"/>
      <c r="Y759" s="134"/>
      <c r="AB759" s="135"/>
      <c r="AE759" s="134"/>
      <c r="AF759" s="132"/>
      <c r="AH759" s="136"/>
      <c r="AJ759" s="137"/>
      <c r="AK759" s="137"/>
      <c r="AL759" s="137"/>
    </row>
    <row r="760">
      <c r="A760" s="131"/>
      <c r="B760" s="132"/>
      <c r="C760" s="132"/>
      <c r="Q760" s="133"/>
      <c r="Y760" s="134"/>
      <c r="AB760" s="135"/>
      <c r="AE760" s="134"/>
      <c r="AF760" s="132"/>
      <c r="AH760" s="136"/>
      <c r="AJ760" s="137"/>
      <c r="AK760" s="137"/>
      <c r="AL760" s="137"/>
    </row>
    <row r="761">
      <c r="A761" s="131"/>
      <c r="B761" s="132"/>
      <c r="C761" s="132"/>
      <c r="Q761" s="133"/>
      <c r="Y761" s="134"/>
      <c r="AB761" s="135"/>
      <c r="AE761" s="134"/>
      <c r="AF761" s="132"/>
      <c r="AH761" s="136"/>
      <c r="AJ761" s="137"/>
      <c r="AK761" s="137"/>
      <c r="AL761" s="137"/>
    </row>
    <row r="762">
      <c r="A762" s="131"/>
      <c r="B762" s="132"/>
      <c r="C762" s="132"/>
      <c r="Q762" s="133"/>
      <c r="Y762" s="134"/>
      <c r="AB762" s="135"/>
      <c r="AE762" s="134"/>
      <c r="AF762" s="132"/>
      <c r="AH762" s="136"/>
      <c r="AJ762" s="137"/>
      <c r="AK762" s="137"/>
      <c r="AL762" s="137"/>
    </row>
    <row r="763">
      <c r="A763" s="131"/>
      <c r="B763" s="132"/>
      <c r="C763" s="132"/>
      <c r="Q763" s="133"/>
      <c r="Y763" s="134"/>
      <c r="AB763" s="135"/>
      <c r="AE763" s="134"/>
      <c r="AF763" s="132"/>
      <c r="AH763" s="136"/>
      <c r="AJ763" s="137"/>
      <c r="AK763" s="137"/>
      <c r="AL763" s="137"/>
    </row>
    <row r="764">
      <c r="A764" s="131"/>
      <c r="B764" s="132"/>
      <c r="C764" s="132"/>
      <c r="Q764" s="133"/>
      <c r="Y764" s="134"/>
      <c r="AB764" s="135"/>
      <c r="AE764" s="134"/>
      <c r="AF764" s="132"/>
      <c r="AH764" s="136"/>
      <c r="AJ764" s="137"/>
      <c r="AK764" s="137"/>
      <c r="AL764" s="137"/>
    </row>
    <row r="765">
      <c r="A765" s="131"/>
      <c r="B765" s="132"/>
      <c r="C765" s="132"/>
      <c r="Q765" s="133"/>
      <c r="Y765" s="134"/>
      <c r="AB765" s="135"/>
      <c r="AE765" s="134"/>
      <c r="AF765" s="132"/>
      <c r="AH765" s="136"/>
      <c r="AJ765" s="137"/>
      <c r="AK765" s="137"/>
      <c r="AL765" s="137"/>
    </row>
    <row r="766">
      <c r="A766" s="131"/>
      <c r="B766" s="132"/>
      <c r="C766" s="132"/>
      <c r="Q766" s="133"/>
      <c r="Y766" s="134"/>
      <c r="AB766" s="135"/>
      <c r="AE766" s="134"/>
      <c r="AF766" s="132"/>
      <c r="AH766" s="136"/>
      <c r="AJ766" s="137"/>
      <c r="AK766" s="137"/>
      <c r="AL766" s="137"/>
    </row>
    <row r="767">
      <c r="A767" s="131"/>
      <c r="B767" s="132"/>
      <c r="C767" s="132"/>
      <c r="Q767" s="133"/>
      <c r="Y767" s="134"/>
      <c r="AB767" s="135"/>
      <c r="AE767" s="134"/>
      <c r="AF767" s="132"/>
      <c r="AH767" s="136"/>
      <c r="AJ767" s="137"/>
      <c r="AK767" s="137"/>
      <c r="AL767" s="137"/>
    </row>
    <row r="768">
      <c r="A768" s="131"/>
      <c r="B768" s="132"/>
      <c r="C768" s="132"/>
      <c r="Q768" s="133"/>
      <c r="Y768" s="134"/>
      <c r="AB768" s="135"/>
      <c r="AE768" s="134"/>
      <c r="AF768" s="132"/>
      <c r="AH768" s="136"/>
      <c r="AJ768" s="137"/>
      <c r="AK768" s="137"/>
      <c r="AL768" s="137"/>
    </row>
    <row r="769">
      <c r="A769" s="131"/>
      <c r="B769" s="132"/>
      <c r="C769" s="132"/>
      <c r="Q769" s="133"/>
      <c r="Y769" s="134"/>
      <c r="AB769" s="135"/>
      <c r="AE769" s="134"/>
      <c r="AF769" s="132"/>
      <c r="AH769" s="136"/>
      <c r="AJ769" s="137"/>
      <c r="AK769" s="137"/>
      <c r="AL769" s="137"/>
    </row>
    <row r="770">
      <c r="A770" s="131"/>
      <c r="B770" s="132"/>
      <c r="C770" s="132"/>
      <c r="Q770" s="133"/>
      <c r="Y770" s="134"/>
      <c r="AB770" s="135"/>
      <c r="AE770" s="134"/>
      <c r="AF770" s="132"/>
      <c r="AH770" s="136"/>
      <c r="AJ770" s="137"/>
      <c r="AK770" s="137"/>
      <c r="AL770" s="137"/>
    </row>
    <row r="771">
      <c r="A771" s="131"/>
      <c r="B771" s="132"/>
      <c r="C771" s="132"/>
      <c r="Q771" s="133"/>
      <c r="Y771" s="134"/>
      <c r="AB771" s="135"/>
      <c r="AE771" s="134"/>
      <c r="AF771" s="132"/>
      <c r="AH771" s="136"/>
      <c r="AJ771" s="137"/>
      <c r="AK771" s="137"/>
      <c r="AL771" s="137"/>
    </row>
    <row r="772">
      <c r="A772" s="131"/>
      <c r="B772" s="132"/>
      <c r="C772" s="132"/>
      <c r="Q772" s="133"/>
      <c r="Y772" s="134"/>
      <c r="AB772" s="135"/>
      <c r="AE772" s="134"/>
      <c r="AF772" s="132"/>
      <c r="AH772" s="136"/>
      <c r="AJ772" s="137"/>
      <c r="AK772" s="137"/>
      <c r="AL772" s="137"/>
    </row>
    <row r="773">
      <c r="A773" s="131"/>
      <c r="B773" s="132"/>
      <c r="C773" s="132"/>
      <c r="Q773" s="133"/>
      <c r="Y773" s="134"/>
      <c r="AB773" s="135"/>
      <c r="AE773" s="134"/>
      <c r="AF773" s="132"/>
      <c r="AH773" s="136"/>
      <c r="AJ773" s="137"/>
      <c r="AK773" s="137"/>
      <c r="AL773" s="137"/>
    </row>
    <row r="774">
      <c r="A774" s="131"/>
      <c r="B774" s="132"/>
      <c r="C774" s="132"/>
      <c r="Q774" s="133"/>
      <c r="Y774" s="134"/>
      <c r="AB774" s="135"/>
      <c r="AE774" s="134"/>
      <c r="AF774" s="132"/>
      <c r="AH774" s="136"/>
      <c r="AJ774" s="137"/>
      <c r="AK774" s="137"/>
      <c r="AL774" s="137"/>
    </row>
    <row r="775">
      <c r="A775" s="131"/>
      <c r="B775" s="132"/>
      <c r="C775" s="132"/>
      <c r="Q775" s="133"/>
      <c r="Y775" s="134"/>
      <c r="AB775" s="135"/>
      <c r="AE775" s="134"/>
      <c r="AF775" s="132"/>
      <c r="AH775" s="136"/>
      <c r="AJ775" s="137"/>
      <c r="AK775" s="137"/>
      <c r="AL775" s="137"/>
    </row>
    <row r="776">
      <c r="A776" s="131"/>
      <c r="B776" s="132"/>
      <c r="C776" s="132"/>
      <c r="Q776" s="133"/>
      <c r="Y776" s="134"/>
      <c r="AB776" s="135"/>
      <c r="AE776" s="134"/>
      <c r="AF776" s="132"/>
      <c r="AH776" s="136"/>
      <c r="AJ776" s="137"/>
      <c r="AK776" s="137"/>
      <c r="AL776" s="137"/>
    </row>
    <row r="777">
      <c r="A777" s="131"/>
      <c r="B777" s="132"/>
      <c r="C777" s="132"/>
      <c r="Q777" s="133"/>
      <c r="Y777" s="134"/>
      <c r="AB777" s="135"/>
      <c r="AE777" s="134"/>
      <c r="AF777" s="132"/>
      <c r="AH777" s="136"/>
      <c r="AJ777" s="137"/>
      <c r="AK777" s="137"/>
      <c r="AL777" s="137"/>
    </row>
    <row r="778">
      <c r="A778" s="131"/>
      <c r="B778" s="132"/>
      <c r="C778" s="132"/>
      <c r="Q778" s="133"/>
      <c r="Y778" s="134"/>
      <c r="AB778" s="135"/>
      <c r="AE778" s="134"/>
      <c r="AF778" s="132"/>
      <c r="AH778" s="136"/>
      <c r="AJ778" s="137"/>
      <c r="AK778" s="137"/>
      <c r="AL778" s="137"/>
    </row>
    <row r="779">
      <c r="A779" s="131"/>
      <c r="B779" s="132"/>
      <c r="C779" s="132"/>
      <c r="Q779" s="133"/>
      <c r="Y779" s="134"/>
      <c r="AB779" s="135"/>
      <c r="AE779" s="134"/>
      <c r="AF779" s="132"/>
      <c r="AH779" s="136"/>
      <c r="AJ779" s="137"/>
      <c r="AK779" s="137"/>
      <c r="AL779" s="137"/>
    </row>
    <row r="780">
      <c r="A780" s="131"/>
      <c r="B780" s="132"/>
      <c r="C780" s="132"/>
      <c r="Q780" s="133"/>
      <c r="Y780" s="134"/>
      <c r="AB780" s="135"/>
      <c r="AE780" s="134"/>
      <c r="AF780" s="132"/>
      <c r="AH780" s="136"/>
      <c r="AJ780" s="137"/>
      <c r="AK780" s="137"/>
      <c r="AL780" s="137"/>
    </row>
    <row r="781">
      <c r="A781" s="131"/>
      <c r="B781" s="132"/>
      <c r="C781" s="132"/>
      <c r="Q781" s="133"/>
      <c r="Y781" s="134"/>
      <c r="AB781" s="135"/>
      <c r="AE781" s="134"/>
      <c r="AF781" s="132"/>
      <c r="AH781" s="136"/>
      <c r="AJ781" s="137"/>
      <c r="AK781" s="137"/>
      <c r="AL781" s="137"/>
    </row>
    <row r="782">
      <c r="A782" s="131"/>
      <c r="B782" s="132"/>
      <c r="C782" s="132"/>
      <c r="Q782" s="133"/>
      <c r="Y782" s="134"/>
      <c r="AB782" s="135"/>
      <c r="AE782" s="134"/>
      <c r="AF782" s="132"/>
      <c r="AH782" s="136"/>
      <c r="AJ782" s="137"/>
      <c r="AK782" s="137"/>
      <c r="AL782" s="137"/>
    </row>
    <row r="783">
      <c r="A783" s="131"/>
      <c r="B783" s="132"/>
      <c r="C783" s="132"/>
      <c r="Q783" s="133"/>
      <c r="Y783" s="134"/>
      <c r="AB783" s="135"/>
      <c r="AE783" s="134"/>
      <c r="AF783" s="132"/>
      <c r="AH783" s="136"/>
      <c r="AJ783" s="137"/>
      <c r="AK783" s="137"/>
      <c r="AL783" s="137"/>
    </row>
    <row r="784">
      <c r="A784" s="131"/>
      <c r="B784" s="132"/>
      <c r="C784" s="132"/>
      <c r="Q784" s="133"/>
      <c r="Y784" s="134"/>
      <c r="AB784" s="135"/>
      <c r="AE784" s="134"/>
      <c r="AF784" s="132"/>
      <c r="AH784" s="136"/>
      <c r="AJ784" s="137"/>
      <c r="AK784" s="137"/>
      <c r="AL784" s="137"/>
    </row>
    <row r="785">
      <c r="A785" s="131"/>
      <c r="B785" s="132"/>
      <c r="C785" s="132"/>
      <c r="Q785" s="133"/>
      <c r="Y785" s="134"/>
      <c r="AB785" s="135"/>
      <c r="AE785" s="134"/>
      <c r="AF785" s="132"/>
      <c r="AH785" s="136"/>
      <c r="AJ785" s="137"/>
      <c r="AK785" s="137"/>
      <c r="AL785" s="137"/>
    </row>
    <row r="786">
      <c r="A786" s="131"/>
      <c r="B786" s="132"/>
      <c r="C786" s="132"/>
      <c r="Q786" s="133"/>
      <c r="Y786" s="134"/>
      <c r="AB786" s="135"/>
      <c r="AE786" s="134"/>
      <c r="AF786" s="132"/>
      <c r="AH786" s="136"/>
      <c r="AJ786" s="137"/>
      <c r="AK786" s="137"/>
      <c r="AL786" s="137"/>
    </row>
    <row r="787">
      <c r="A787" s="131"/>
      <c r="B787" s="132"/>
      <c r="C787" s="132"/>
      <c r="Q787" s="133"/>
      <c r="Y787" s="134"/>
      <c r="AB787" s="135"/>
      <c r="AE787" s="134"/>
      <c r="AF787" s="132"/>
      <c r="AH787" s="136"/>
      <c r="AJ787" s="137"/>
      <c r="AK787" s="137"/>
      <c r="AL787" s="137"/>
    </row>
    <row r="788">
      <c r="A788" s="131"/>
      <c r="B788" s="132"/>
      <c r="C788" s="132"/>
      <c r="Q788" s="133"/>
      <c r="Y788" s="134"/>
      <c r="AB788" s="135"/>
      <c r="AE788" s="134"/>
      <c r="AF788" s="132"/>
      <c r="AH788" s="136"/>
      <c r="AJ788" s="137"/>
      <c r="AK788" s="137"/>
      <c r="AL788" s="137"/>
    </row>
    <row r="789">
      <c r="A789" s="131"/>
      <c r="B789" s="132"/>
      <c r="C789" s="132"/>
      <c r="Q789" s="133"/>
      <c r="Y789" s="134"/>
      <c r="AB789" s="135"/>
      <c r="AE789" s="134"/>
      <c r="AF789" s="132"/>
      <c r="AH789" s="136"/>
      <c r="AJ789" s="137"/>
      <c r="AK789" s="137"/>
      <c r="AL789" s="137"/>
    </row>
    <row r="790">
      <c r="A790" s="131"/>
      <c r="B790" s="132"/>
      <c r="C790" s="132"/>
      <c r="Q790" s="133"/>
      <c r="Y790" s="134"/>
      <c r="AB790" s="135"/>
      <c r="AE790" s="134"/>
      <c r="AF790" s="132"/>
      <c r="AH790" s="136"/>
      <c r="AJ790" s="137"/>
      <c r="AK790" s="137"/>
      <c r="AL790" s="137"/>
    </row>
    <row r="791">
      <c r="A791" s="131"/>
      <c r="B791" s="132"/>
      <c r="C791" s="132"/>
      <c r="Q791" s="133"/>
      <c r="Y791" s="134"/>
      <c r="AB791" s="135"/>
      <c r="AE791" s="134"/>
      <c r="AF791" s="132"/>
      <c r="AH791" s="136"/>
      <c r="AJ791" s="137"/>
      <c r="AK791" s="137"/>
      <c r="AL791" s="137"/>
    </row>
    <row r="792">
      <c r="A792" s="131"/>
      <c r="B792" s="132"/>
      <c r="C792" s="132"/>
      <c r="Q792" s="133"/>
      <c r="Y792" s="134"/>
      <c r="AB792" s="135"/>
      <c r="AE792" s="134"/>
      <c r="AF792" s="132"/>
      <c r="AH792" s="136"/>
      <c r="AJ792" s="137"/>
      <c r="AK792" s="137"/>
      <c r="AL792" s="137"/>
    </row>
    <row r="793">
      <c r="A793" s="131"/>
      <c r="B793" s="132"/>
      <c r="C793" s="132"/>
      <c r="Q793" s="133"/>
      <c r="Y793" s="134"/>
      <c r="AB793" s="135"/>
      <c r="AE793" s="134"/>
      <c r="AF793" s="132"/>
      <c r="AH793" s="136"/>
      <c r="AJ793" s="137"/>
      <c r="AK793" s="137"/>
      <c r="AL793" s="137"/>
    </row>
    <row r="794">
      <c r="A794" s="131"/>
      <c r="B794" s="132"/>
      <c r="C794" s="132"/>
      <c r="Q794" s="133"/>
      <c r="Y794" s="134"/>
      <c r="AB794" s="135"/>
      <c r="AE794" s="134"/>
      <c r="AF794" s="132"/>
      <c r="AH794" s="136"/>
      <c r="AJ794" s="137"/>
      <c r="AK794" s="137"/>
      <c r="AL794" s="137"/>
    </row>
    <row r="795">
      <c r="A795" s="131"/>
      <c r="B795" s="132"/>
      <c r="C795" s="132"/>
      <c r="Q795" s="133"/>
      <c r="Y795" s="134"/>
      <c r="AB795" s="135"/>
      <c r="AE795" s="134"/>
      <c r="AF795" s="132"/>
      <c r="AH795" s="136"/>
      <c r="AJ795" s="137"/>
      <c r="AK795" s="137"/>
      <c r="AL795" s="137"/>
    </row>
    <row r="796">
      <c r="A796" s="131"/>
      <c r="B796" s="132"/>
      <c r="C796" s="132"/>
      <c r="Q796" s="133"/>
      <c r="Y796" s="134"/>
      <c r="AB796" s="135"/>
      <c r="AE796" s="134"/>
      <c r="AF796" s="132"/>
      <c r="AH796" s="136"/>
      <c r="AJ796" s="137"/>
      <c r="AK796" s="137"/>
      <c r="AL796" s="137"/>
    </row>
    <row r="797">
      <c r="A797" s="131"/>
      <c r="B797" s="132"/>
      <c r="C797" s="132"/>
      <c r="Q797" s="133"/>
      <c r="Y797" s="134"/>
      <c r="AB797" s="135"/>
      <c r="AE797" s="134"/>
      <c r="AF797" s="132"/>
      <c r="AH797" s="136"/>
      <c r="AJ797" s="137"/>
      <c r="AK797" s="137"/>
      <c r="AL797" s="137"/>
    </row>
    <row r="798">
      <c r="A798" s="131"/>
      <c r="B798" s="132"/>
      <c r="C798" s="132"/>
      <c r="Q798" s="133"/>
      <c r="Y798" s="134"/>
      <c r="AB798" s="135"/>
      <c r="AE798" s="134"/>
      <c r="AF798" s="132"/>
      <c r="AH798" s="136"/>
      <c r="AJ798" s="137"/>
      <c r="AK798" s="137"/>
      <c r="AL798" s="137"/>
    </row>
    <row r="799">
      <c r="A799" s="131"/>
      <c r="B799" s="132"/>
      <c r="C799" s="132"/>
      <c r="Q799" s="133"/>
      <c r="Y799" s="134"/>
      <c r="AB799" s="135"/>
      <c r="AE799" s="134"/>
      <c r="AF799" s="132"/>
      <c r="AH799" s="136"/>
      <c r="AJ799" s="137"/>
      <c r="AK799" s="137"/>
      <c r="AL799" s="137"/>
    </row>
    <row r="800">
      <c r="A800" s="131"/>
      <c r="B800" s="132"/>
      <c r="C800" s="132"/>
      <c r="Q800" s="133"/>
      <c r="Y800" s="134"/>
      <c r="AB800" s="135"/>
      <c r="AE800" s="134"/>
      <c r="AF800" s="132"/>
      <c r="AH800" s="136"/>
      <c r="AJ800" s="137"/>
      <c r="AK800" s="137"/>
      <c r="AL800" s="137"/>
    </row>
    <row r="801">
      <c r="A801" s="131"/>
      <c r="B801" s="132"/>
      <c r="C801" s="132"/>
      <c r="Q801" s="133"/>
      <c r="Y801" s="134"/>
      <c r="AB801" s="135"/>
      <c r="AE801" s="134"/>
      <c r="AF801" s="132"/>
      <c r="AH801" s="136"/>
      <c r="AJ801" s="137"/>
      <c r="AK801" s="137"/>
      <c r="AL801" s="137"/>
    </row>
    <row r="802">
      <c r="A802" s="131"/>
      <c r="B802" s="132"/>
      <c r="C802" s="132"/>
      <c r="Q802" s="133"/>
      <c r="Y802" s="134"/>
      <c r="AB802" s="135"/>
      <c r="AE802" s="134"/>
      <c r="AF802" s="132"/>
      <c r="AH802" s="136"/>
      <c r="AJ802" s="137"/>
      <c r="AK802" s="137"/>
      <c r="AL802" s="137"/>
    </row>
    <row r="803">
      <c r="A803" s="131"/>
      <c r="B803" s="132"/>
      <c r="C803" s="132"/>
      <c r="Q803" s="133"/>
      <c r="Y803" s="134"/>
      <c r="AB803" s="135"/>
      <c r="AE803" s="134"/>
      <c r="AF803" s="132"/>
      <c r="AH803" s="136"/>
      <c r="AJ803" s="137"/>
      <c r="AK803" s="137"/>
      <c r="AL803" s="137"/>
    </row>
    <row r="804">
      <c r="A804" s="131"/>
      <c r="B804" s="132"/>
      <c r="C804" s="132"/>
      <c r="Q804" s="133"/>
      <c r="Y804" s="134"/>
      <c r="AB804" s="135"/>
      <c r="AE804" s="134"/>
      <c r="AF804" s="132"/>
      <c r="AH804" s="136"/>
      <c r="AJ804" s="137"/>
      <c r="AK804" s="137"/>
      <c r="AL804" s="137"/>
    </row>
    <row r="805">
      <c r="A805" s="131"/>
      <c r="B805" s="132"/>
      <c r="C805" s="132"/>
      <c r="Q805" s="133"/>
      <c r="Y805" s="134"/>
      <c r="AB805" s="135"/>
      <c r="AE805" s="134"/>
      <c r="AF805" s="132"/>
      <c r="AH805" s="136"/>
      <c r="AJ805" s="137"/>
      <c r="AK805" s="137"/>
      <c r="AL805" s="137"/>
    </row>
    <row r="806">
      <c r="A806" s="131"/>
      <c r="B806" s="132"/>
      <c r="C806" s="132"/>
      <c r="Q806" s="133"/>
      <c r="Y806" s="134"/>
      <c r="AB806" s="135"/>
      <c r="AE806" s="134"/>
      <c r="AF806" s="132"/>
      <c r="AH806" s="136"/>
      <c r="AJ806" s="137"/>
      <c r="AK806" s="137"/>
      <c r="AL806" s="137"/>
    </row>
    <row r="807">
      <c r="A807" s="131"/>
      <c r="B807" s="132"/>
      <c r="C807" s="132"/>
      <c r="Q807" s="133"/>
      <c r="Y807" s="134"/>
      <c r="AB807" s="135"/>
      <c r="AE807" s="134"/>
      <c r="AF807" s="132"/>
      <c r="AH807" s="136"/>
      <c r="AJ807" s="137"/>
      <c r="AK807" s="137"/>
      <c r="AL807" s="137"/>
    </row>
    <row r="808">
      <c r="A808" s="131"/>
      <c r="B808" s="132"/>
      <c r="C808" s="132"/>
      <c r="Q808" s="133"/>
      <c r="Y808" s="134"/>
      <c r="AB808" s="135"/>
      <c r="AE808" s="134"/>
      <c r="AF808" s="132"/>
      <c r="AH808" s="136"/>
      <c r="AJ808" s="137"/>
      <c r="AK808" s="137"/>
      <c r="AL808" s="137"/>
    </row>
    <row r="809">
      <c r="A809" s="131"/>
      <c r="B809" s="132"/>
      <c r="C809" s="132"/>
      <c r="Q809" s="133"/>
      <c r="Y809" s="134"/>
      <c r="AB809" s="135"/>
      <c r="AE809" s="134"/>
      <c r="AF809" s="132"/>
      <c r="AH809" s="136"/>
      <c r="AJ809" s="137"/>
      <c r="AK809" s="137"/>
      <c r="AL809" s="137"/>
    </row>
    <row r="810">
      <c r="A810" s="131"/>
      <c r="B810" s="132"/>
      <c r="C810" s="132"/>
      <c r="Q810" s="133"/>
      <c r="Y810" s="134"/>
      <c r="AB810" s="135"/>
      <c r="AE810" s="134"/>
      <c r="AF810" s="132"/>
      <c r="AH810" s="136"/>
      <c r="AJ810" s="137"/>
      <c r="AK810" s="137"/>
      <c r="AL810" s="137"/>
    </row>
    <row r="811">
      <c r="A811" s="131"/>
      <c r="B811" s="132"/>
      <c r="C811" s="132"/>
      <c r="Q811" s="133"/>
      <c r="Y811" s="134"/>
      <c r="AB811" s="135"/>
      <c r="AE811" s="134"/>
      <c r="AF811" s="132"/>
      <c r="AH811" s="136"/>
      <c r="AJ811" s="137"/>
      <c r="AK811" s="137"/>
      <c r="AL811" s="137"/>
    </row>
    <row r="812">
      <c r="A812" s="131"/>
      <c r="B812" s="132"/>
      <c r="C812" s="132"/>
      <c r="Q812" s="133"/>
      <c r="Y812" s="134"/>
      <c r="AB812" s="135"/>
      <c r="AE812" s="134"/>
      <c r="AF812" s="132"/>
      <c r="AH812" s="136"/>
      <c r="AJ812" s="137"/>
      <c r="AK812" s="137"/>
      <c r="AL812" s="137"/>
    </row>
    <row r="813">
      <c r="A813" s="131"/>
      <c r="B813" s="132"/>
      <c r="C813" s="132"/>
      <c r="Q813" s="133"/>
      <c r="Y813" s="134"/>
      <c r="AB813" s="135"/>
      <c r="AE813" s="134"/>
      <c r="AF813" s="132"/>
      <c r="AH813" s="136"/>
      <c r="AJ813" s="137"/>
      <c r="AK813" s="137"/>
      <c r="AL813" s="137"/>
    </row>
    <row r="814">
      <c r="A814" s="131"/>
      <c r="B814" s="132"/>
      <c r="C814" s="132"/>
      <c r="Q814" s="133"/>
      <c r="Y814" s="134"/>
      <c r="AB814" s="135"/>
      <c r="AE814" s="134"/>
      <c r="AF814" s="132"/>
      <c r="AH814" s="136"/>
      <c r="AJ814" s="137"/>
      <c r="AK814" s="137"/>
      <c r="AL814" s="137"/>
    </row>
    <row r="815">
      <c r="A815" s="131"/>
      <c r="B815" s="132"/>
      <c r="C815" s="132"/>
      <c r="Q815" s="133"/>
      <c r="Y815" s="134"/>
      <c r="AB815" s="135"/>
      <c r="AE815" s="134"/>
      <c r="AF815" s="132"/>
      <c r="AH815" s="136"/>
      <c r="AJ815" s="137"/>
      <c r="AK815" s="137"/>
      <c r="AL815" s="137"/>
    </row>
    <row r="816">
      <c r="A816" s="131"/>
      <c r="B816" s="132"/>
      <c r="C816" s="132"/>
      <c r="Q816" s="133"/>
      <c r="Y816" s="134"/>
      <c r="AB816" s="135"/>
      <c r="AE816" s="134"/>
      <c r="AF816" s="132"/>
      <c r="AH816" s="136"/>
      <c r="AJ816" s="137"/>
      <c r="AK816" s="137"/>
      <c r="AL816" s="137"/>
    </row>
    <row r="817">
      <c r="A817" s="131"/>
      <c r="B817" s="132"/>
      <c r="C817" s="132"/>
      <c r="Q817" s="133"/>
      <c r="Y817" s="134"/>
      <c r="AB817" s="135"/>
      <c r="AE817" s="134"/>
      <c r="AF817" s="132"/>
      <c r="AH817" s="136"/>
      <c r="AJ817" s="137"/>
      <c r="AK817" s="137"/>
      <c r="AL817" s="137"/>
    </row>
    <row r="818">
      <c r="A818" s="131"/>
      <c r="B818" s="132"/>
      <c r="C818" s="132"/>
      <c r="Q818" s="133"/>
      <c r="Y818" s="134"/>
      <c r="AB818" s="135"/>
      <c r="AE818" s="134"/>
      <c r="AF818" s="132"/>
      <c r="AH818" s="136"/>
      <c r="AJ818" s="137"/>
      <c r="AK818" s="137"/>
      <c r="AL818" s="137"/>
    </row>
    <row r="819">
      <c r="A819" s="131"/>
      <c r="B819" s="132"/>
      <c r="C819" s="132"/>
      <c r="Q819" s="133"/>
      <c r="Y819" s="134"/>
      <c r="AB819" s="135"/>
      <c r="AE819" s="134"/>
      <c r="AF819" s="132"/>
      <c r="AH819" s="136"/>
      <c r="AJ819" s="137"/>
      <c r="AK819" s="137"/>
      <c r="AL819" s="137"/>
    </row>
    <row r="820">
      <c r="A820" s="131"/>
      <c r="B820" s="132"/>
      <c r="C820" s="132"/>
      <c r="Q820" s="133"/>
      <c r="Y820" s="134"/>
      <c r="AB820" s="135"/>
      <c r="AE820" s="134"/>
      <c r="AF820" s="132"/>
      <c r="AH820" s="136"/>
      <c r="AJ820" s="137"/>
      <c r="AK820" s="137"/>
      <c r="AL820" s="137"/>
    </row>
    <row r="821">
      <c r="A821" s="131"/>
      <c r="B821" s="132"/>
      <c r="C821" s="132"/>
      <c r="Q821" s="133"/>
      <c r="Y821" s="134"/>
      <c r="AB821" s="135"/>
      <c r="AE821" s="134"/>
      <c r="AF821" s="132"/>
      <c r="AH821" s="136"/>
      <c r="AJ821" s="137"/>
      <c r="AK821" s="137"/>
      <c r="AL821" s="137"/>
    </row>
    <row r="822">
      <c r="A822" s="131"/>
      <c r="B822" s="132"/>
      <c r="C822" s="132"/>
      <c r="Q822" s="133"/>
      <c r="Y822" s="134"/>
      <c r="AB822" s="135"/>
      <c r="AE822" s="134"/>
      <c r="AF822" s="132"/>
      <c r="AH822" s="136"/>
      <c r="AJ822" s="137"/>
      <c r="AK822" s="137"/>
      <c r="AL822" s="137"/>
    </row>
    <row r="823">
      <c r="A823" s="131"/>
      <c r="B823" s="132"/>
      <c r="C823" s="132"/>
      <c r="Q823" s="133"/>
      <c r="Y823" s="134"/>
      <c r="AB823" s="135"/>
      <c r="AE823" s="134"/>
      <c r="AF823" s="132"/>
      <c r="AH823" s="136"/>
      <c r="AJ823" s="137"/>
      <c r="AK823" s="137"/>
      <c r="AL823" s="137"/>
    </row>
    <row r="824">
      <c r="A824" s="131"/>
      <c r="B824" s="132"/>
      <c r="C824" s="132"/>
      <c r="Q824" s="133"/>
      <c r="Y824" s="134"/>
      <c r="AB824" s="135"/>
      <c r="AE824" s="134"/>
      <c r="AF824" s="132"/>
      <c r="AH824" s="136"/>
      <c r="AJ824" s="137"/>
      <c r="AK824" s="137"/>
      <c r="AL824" s="137"/>
    </row>
    <row r="825">
      <c r="A825" s="131"/>
      <c r="B825" s="132"/>
      <c r="C825" s="132"/>
      <c r="Q825" s="133"/>
      <c r="Y825" s="134"/>
      <c r="AB825" s="135"/>
      <c r="AE825" s="134"/>
      <c r="AF825" s="132"/>
      <c r="AH825" s="136"/>
      <c r="AJ825" s="137"/>
      <c r="AK825" s="137"/>
      <c r="AL825" s="137"/>
    </row>
    <row r="826">
      <c r="A826" s="131"/>
      <c r="B826" s="132"/>
      <c r="C826" s="132"/>
      <c r="Q826" s="133"/>
      <c r="Y826" s="134"/>
      <c r="AB826" s="135"/>
      <c r="AE826" s="134"/>
      <c r="AF826" s="132"/>
      <c r="AH826" s="136"/>
      <c r="AJ826" s="137"/>
      <c r="AK826" s="137"/>
      <c r="AL826" s="137"/>
    </row>
    <row r="827">
      <c r="A827" s="131"/>
      <c r="B827" s="132"/>
      <c r="C827" s="132"/>
      <c r="Q827" s="133"/>
      <c r="Y827" s="134"/>
      <c r="AB827" s="135"/>
      <c r="AE827" s="134"/>
      <c r="AF827" s="132"/>
      <c r="AH827" s="136"/>
      <c r="AJ827" s="137"/>
      <c r="AK827" s="137"/>
      <c r="AL827" s="137"/>
    </row>
    <row r="828">
      <c r="A828" s="131"/>
      <c r="B828" s="132"/>
      <c r="C828" s="132"/>
      <c r="Q828" s="133"/>
      <c r="Y828" s="134"/>
      <c r="AB828" s="135"/>
      <c r="AE828" s="134"/>
      <c r="AF828" s="132"/>
      <c r="AH828" s="136"/>
      <c r="AJ828" s="137"/>
      <c r="AK828" s="137"/>
      <c r="AL828" s="137"/>
    </row>
    <row r="829">
      <c r="A829" s="131"/>
      <c r="B829" s="132"/>
      <c r="C829" s="132"/>
      <c r="Q829" s="133"/>
      <c r="Y829" s="134"/>
      <c r="AB829" s="135"/>
      <c r="AE829" s="134"/>
      <c r="AF829" s="132"/>
      <c r="AH829" s="136"/>
      <c r="AJ829" s="137"/>
      <c r="AK829" s="137"/>
      <c r="AL829" s="137"/>
    </row>
    <row r="830">
      <c r="A830" s="131"/>
      <c r="B830" s="132"/>
      <c r="C830" s="132"/>
      <c r="Q830" s="133"/>
      <c r="Y830" s="134"/>
      <c r="AB830" s="135"/>
      <c r="AE830" s="134"/>
      <c r="AF830" s="132"/>
      <c r="AH830" s="136"/>
      <c r="AJ830" s="137"/>
      <c r="AK830" s="137"/>
      <c r="AL830" s="137"/>
    </row>
    <row r="831">
      <c r="A831" s="131"/>
      <c r="B831" s="132"/>
      <c r="C831" s="132"/>
      <c r="Q831" s="133"/>
      <c r="Y831" s="134"/>
      <c r="AB831" s="135"/>
      <c r="AE831" s="134"/>
      <c r="AF831" s="132"/>
      <c r="AH831" s="136"/>
      <c r="AJ831" s="137"/>
      <c r="AK831" s="137"/>
      <c r="AL831" s="137"/>
    </row>
    <row r="832">
      <c r="A832" s="131"/>
      <c r="B832" s="132"/>
      <c r="C832" s="132"/>
      <c r="Q832" s="133"/>
      <c r="Y832" s="134"/>
      <c r="AB832" s="135"/>
      <c r="AE832" s="134"/>
      <c r="AF832" s="132"/>
      <c r="AH832" s="136"/>
      <c r="AJ832" s="137"/>
      <c r="AK832" s="137"/>
      <c r="AL832" s="137"/>
    </row>
    <row r="833">
      <c r="A833" s="131"/>
      <c r="B833" s="132"/>
      <c r="C833" s="132"/>
      <c r="Q833" s="133"/>
      <c r="Y833" s="134"/>
      <c r="AB833" s="135"/>
      <c r="AE833" s="134"/>
      <c r="AF833" s="132"/>
      <c r="AH833" s="136"/>
      <c r="AJ833" s="137"/>
      <c r="AK833" s="137"/>
      <c r="AL833" s="137"/>
    </row>
    <row r="834">
      <c r="A834" s="131"/>
      <c r="B834" s="132"/>
      <c r="C834" s="132"/>
      <c r="Q834" s="133"/>
      <c r="Y834" s="134"/>
      <c r="AB834" s="135"/>
      <c r="AE834" s="134"/>
      <c r="AF834" s="132"/>
      <c r="AH834" s="136"/>
      <c r="AJ834" s="137"/>
      <c r="AK834" s="137"/>
      <c r="AL834" s="137"/>
    </row>
    <row r="835">
      <c r="A835" s="131"/>
      <c r="B835" s="132"/>
      <c r="C835" s="132"/>
      <c r="Q835" s="133"/>
      <c r="Y835" s="134"/>
      <c r="AB835" s="135"/>
      <c r="AE835" s="134"/>
      <c r="AF835" s="132"/>
      <c r="AH835" s="136"/>
      <c r="AJ835" s="137"/>
      <c r="AK835" s="137"/>
      <c r="AL835" s="137"/>
    </row>
    <row r="836">
      <c r="A836" s="131"/>
      <c r="B836" s="132"/>
      <c r="C836" s="132"/>
      <c r="Q836" s="133"/>
      <c r="Y836" s="134"/>
      <c r="AB836" s="135"/>
      <c r="AE836" s="134"/>
      <c r="AF836" s="132"/>
      <c r="AH836" s="136"/>
      <c r="AJ836" s="137"/>
      <c r="AK836" s="137"/>
      <c r="AL836" s="137"/>
    </row>
    <row r="837">
      <c r="A837" s="131"/>
      <c r="B837" s="132"/>
      <c r="C837" s="132"/>
      <c r="Q837" s="133"/>
      <c r="Y837" s="134"/>
      <c r="AB837" s="135"/>
      <c r="AE837" s="134"/>
      <c r="AF837" s="132"/>
      <c r="AH837" s="136"/>
      <c r="AJ837" s="137"/>
      <c r="AK837" s="137"/>
      <c r="AL837" s="137"/>
    </row>
    <row r="838">
      <c r="A838" s="131"/>
      <c r="B838" s="132"/>
      <c r="C838" s="132"/>
      <c r="Q838" s="133"/>
      <c r="Y838" s="134"/>
      <c r="AB838" s="135"/>
      <c r="AE838" s="134"/>
      <c r="AF838" s="132"/>
      <c r="AH838" s="136"/>
      <c r="AJ838" s="137"/>
      <c r="AK838" s="137"/>
      <c r="AL838" s="137"/>
    </row>
    <row r="839">
      <c r="A839" s="131"/>
      <c r="B839" s="132"/>
      <c r="C839" s="132"/>
      <c r="Q839" s="133"/>
      <c r="Y839" s="134"/>
      <c r="AB839" s="135"/>
      <c r="AE839" s="134"/>
      <c r="AF839" s="132"/>
      <c r="AH839" s="136"/>
      <c r="AJ839" s="137"/>
      <c r="AK839" s="137"/>
      <c r="AL839" s="137"/>
    </row>
    <row r="840">
      <c r="A840" s="131"/>
      <c r="B840" s="132"/>
      <c r="C840" s="132"/>
      <c r="Q840" s="133"/>
      <c r="Y840" s="134"/>
      <c r="AB840" s="135"/>
      <c r="AE840" s="134"/>
      <c r="AF840" s="132"/>
      <c r="AH840" s="136"/>
      <c r="AJ840" s="137"/>
      <c r="AK840" s="137"/>
      <c r="AL840" s="137"/>
    </row>
    <row r="841">
      <c r="A841" s="131"/>
      <c r="B841" s="132"/>
      <c r="C841" s="132"/>
      <c r="Q841" s="133"/>
      <c r="Y841" s="134"/>
      <c r="AB841" s="135"/>
      <c r="AE841" s="134"/>
      <c r="AF841" s="132"/>
      <c r="AH841" s="136"/>
      <c r="AJ841" s="137"/>
      <c r="AK841" s="137"/>
      <c r="AL841" s="137"/>
    </row>
    <row r="842">
      <c r="A842" s="131"/>
      <c r="B842" s="132"/>
      <c r="C842" s="132"/>
      <c r="Q842" s="133"/>
      <c r="Y842" s="134"/>
      <c r="AB842" s="135"/>
      <c r="AE842" s="134"/>
      <c r="AF842" s="132"/>
      <c r="AH842" s="136"/>
      <c r="AJ842" s="137"/>
      <c r="AK842" s="137"/>
      <c r="AL842" s="137"/>
    </row>
    <row r="843">
      <c r="A843" s="131"/>
      <c r="B843" s="132"/>
      <c r="C843" s="132"/>
      <c r="Q843" s="133"/>
      <c r="Y843" s="134"/>
      <c r="AB843" s="135"/>
      <c r="AE843" s="134"/>
      <c r="AF843" s="132"/>
      <c r="AH843" s="136"/>
      <c r="AJ843" s="137"/>
      <c r="AK843" s="137"/>
      <c r="AL843" s="137"/>
    </row>
    <row r="844">
      <c r="A844" s="131"/>
      <c r="B844" s="132"/>
      <c r="C844" s="132"/>
      <c r="Q844" s="133"/>
      <c r="Y844" s="134"/>
      <c r="AB844" s="135"/>
      <c r="AE844" s="134"/>
      <c r="AF844" s="132"/>
      <c r="AH844" s="136"/>
      <c r="AJ844" s="137"/>
      <c r="AK844" s="137"/>
      <c r="AL844" s="137"/>
    </row>
    <row r="845">
      <c r="A845" s="131"/>
      <c r="B845" s="132"/>
      <c r="C845" s="132"/>
      <c r="Q845" s="133"/>
      <c r="Y845" s="134"/>
      <c r="AB845" s="135"/>
      <c r="AE845" s="134"/>
      <c r="AF845" s="132"/>
      <c r="AH845" s="136"/>
      <c r="AJ845" s="137"/>
      <c r="AK845" s="137"/>
      <c r="AL845" s="137"/>
    </row>
    <row r="846">
      <c r="A846" s="131"/>
      <c r="B846" s="132"/>
      <c r="C846" s="132"/>
      <c r="Q846" s="133"/>
      <c r="Y846" s="134"/>
      <c r="AB846" s="135"/>
      <c r="AE846" s="134"/>
      <c r="AF846" s="132"/>
      <c r="AH846" s="136"/>
      <c r="AJ846" s="137"/>
      <c r="AK846" s="137"/>
      <c r="AL846" s="137"/>
    </row>
    <row r="847">
      <c r="A847" s="131"/>
      <c r="B847" s="132"/>
      <c r="C847" s="132"/>
      <c r="Q847" s="133"/>
      <c r="Y847" s="134"/>
      <c r="AB847" s="135"/>
      <c r="AE847" s="134"/>
      <c r="AF847" s="132"/>
      <c r="AH847" s="136"/>
      <c r="AJ847" s="137"/>
      <c r="AK847" s="137"/>
      <c r="AL847" s="137"/>
    </row>
    <row r="848">
      <c r="A848" s="131"/>
      <c r="B848" s="132"/>
      <c r="C848" s="132"/>
      <c r="Q848" s="133"/>
      <c r="Y848" s="134"/>
      <c r="AB848" s="135"/>
      <c r="AE848" s="134"/>
      <c r="AF848" s="132"/>
      <c r="AH848" s="136"/>
      <c r="AJ848" s="137"/>
      <c r="AK848" s="137"/>
      <c r="AL848" s="137"/>
    </row>
    <row r="849">
      <c r="A849" s="131"/>
      <c r="B849" s="132"/>
      <c r="C849" s="132"/>
      <c r="Q849" s="133"/>
      <c r="Y849" s="134"/>
      <c r="AB849" s="135"/>
      <c r="AE849" s="134"/>
      <c r="AF849" s="132"/>
      <c r="AH849" s="136"/>
      <c r="AJ849" s="137"/>
      <c r="AK849" s="137"/>
      <c r="AL849" s="137"/>
    </row>
    <row r="850">
      <c r="A850" s="131"/>
      <c r="B850" s="132"/>
      <c r="C850" s="132"/>
      <c r="Q850" s="133"/>
      <c r="Y850" s="134"/>
      <c r="AB850" s="135"/>
      <c r="AE850" s="134"/>
      <c r="AF850" s="132"/>
      <c r="AH850" s="136"/>
      <c r="AJ850" s="137"/>
      <c r="AK850" s="137"/>
      <c r="AL850" s="137"/>
    </row>
    <row r="851">
      <c r="A851" s="131"/>
      <c r="B851" s="132"/>
      <c r="C851" s="132"/>
      <c r="Q851" s="133"/>
      <c r="Y851" s="134"/>
      <c r="AB851" s="135"/>
      <c r="AE851" s="134"/>
      <c r="AF851" s="132"/>
      <c r="AH851" s="136"/>
      <c r="AJ851" s="137"/>
      <c r="AK851" s="137"/>
      <c r="AL851" s="137"/>
    </row>
    <row r="852">
      <c r="A852" s="131"/>
      <c r="B852" s="132"/>
      <c r="C852" s="132"/>
      <c r="Q852" s="133"/>
      <c r="Y852" s="134"/>
      <c r="AB852" s="135"/>
      <c r="AE852" s="134"/>
      <c r="AF852" s="132"/>
      <c r="AH852" s="136"/>
      <c r="AJ852" s="137"/>
      <c r="AK852" s="137"/>
      <c r="AL852" s="137"/>
    </row>
    <row r="853">
      <c r="A853" s="131"/>
      <c r="B853" s="132"/>
      <c r="C853" s="132"/>
      <c r="Q853" s="133"/>
      <c r="Y853" s="134"/>
      <c r="AB853" s="135"/>
      <c r="AE853" s="134"/>
      <c r="AF853" s="132"/>
      <c r="AH853" s="136"/>
      <c r="AJ853" s="137"/>
      <c r="AK853" s="137"/>
      <c r="AL853" s="137"/>
    </row>
    <row r="854">
      <c r="A854" s="131"/>
      <c r="B854" s="132"/>
      <c r="C854" s="132"/>
      <c r="Q854" s="133"/>
      <c r="Y854" s="134"/>
      <c r="AB854" s="135"/>
      <c r="AE854" s="134"/>
      <c r="AF854" s="132"/>
      <c r="AH854" s="136"/>
      <c r="AJ854" s="137"/>
      <c r="AK854" s="137"/>
      <c r="AL854" s="137"/>
    </row>
    <row r="855">
      <c r="A855" s="131"/>
      <c r="B855" s="132"/>
      <c r="C855" s="132"/>
      <c r="Q855" s="133"/>
      <c r="Y855" s="134"/>
      <c r="AB855" s="135"/>
      <c r="AE855" s="134"/>
      <c r="AF855" s="132"/>
      <c r="AH855" s="136"/>
      <c r="AJ855" s="137"/>
      <c r="AK855" s="137"/>
      <c r="AL855" s="137"/>
    </row>
    <row r="856">
      <c r="A856" s="131"/>
      <c r="B856" s="132"/>
      <c r="C856" s="132"/>
      <c r="Q856" s="133"/>
      <c r="Y856" s="134"/>
      <c r="AB856" s="135"/>
      <c r="AE856" s="134"/>
      <c r="AF856" s="132"/>
      <c r="AH856" s="136"/>
      <c r="AJ856" s="137"/>
      <c r="AK856" s="137"/>
      <c r="AL856" s="137"/>
    </row>
    <row r="857">
      <c r="A857" s="131"/>
      <c r="B857" s="132"/>
      <c r="C857" s="132"/>
      <c r="Q857" s="133"/>
      <c r="Y857" s="134"/>
      <c r="AB857" s="135"/>
      <c r="AE857" s="134"/>
      <c r="AF857" s="132"/>
      <c r="AH857" s="136"/>
      <c r="AJ857" s="137"/>
      <c r="AK857" s="137"/>
      <c r="AL857" s="137"/>
    </row>
    <row r="858">
      <c r="A858" s="131"/>
      <c r="B858" s="132"/>
      <c r="C858" s="132"/>
      <c r="Q858" s="133"/>
      <c r="Y858" s="134"/>
      <c r="AB858" s="135"/>
      <c r="AE858" s="134"/>
      <c r="AF858" s="132"/>
      <c r="AH858" s="136"/>
      <c r="AJ858" s="137"/>
      <c r="AK858" s="137"/>
      <c r="AL858" s="137"/>
    </row>
    <row r="859">
      <c r="A859" s="131"/>
      <c r="B859" s="132"/>
      <c r="C859" s="132"/>
      <c r="Q859" s="133"/>
      <c r="Y859" s="134"/>
      <c r="AB859" s="135"/>
      <c r="AE859" s="134"/>
      <c r="AF859" s="132"/>
      <c r="AH859" s="136"/>
      <c r="AJ859" s="137"/>
      <c r="AK859" s="137"/>
      <c r="AL859" s="137"/>
    </row>
    <row r="860">
      <c r="A860" s="131"/>
      <c r="B860" s="132"/>
      <c r="C860" s="132"/>
      <c r="Q860" s="133"/>
      <c r="Y860" s="134"/>
      <c r="AB860" s="135"/>
      <c r="AE860" s="134"/>
      <c r="AF860" s="132"/>
      <c r="AH860" s="136"/>
      <c r="AJ860" s="137"/>
      <c r="AK860" s="137"/>
      <c r="AL860" s="137"/>
    </row>
    <row r="861">
      <c r="A861" s="131"/>
      <c r="B861" s="132"/>
      <c r="C861" s="132"/>
      <c r="Q861" s="133"/>
      <c r="Y861" s="134"/>
      <c r="AB861" s="135"/>
      <c r="AE861" s="134"/>
      <c r="AF861" s="132"/>
      <c r="AH861" s="136"/>
      <c r="AJ861" s="137"/>
      <c r="AK861" s="137"/>
      <c r="AL861" s="137"/>
    </row>
    <row r="862">
      <c r="A862" s="131"/>
      <c r="B862" s="132"/>
      <c r="C862" s="132"/>
      <c r="Q862" s="133"/>
      <c r="Y862" s="134"/>
      <c r="AB862" s="135"/>
      <c r="AE862" s="134"/>
      <c r="AF862" s="132"/>
      <c r="AH862" s="136"/>
      <c r="AJ862" s="137"/>
      <c r="AK862" s="137"/>
      <c r="AL862" s="137"/>
    </row>
    <row r="863">
      <c r="A863" s="131"/>
      <c r="B863" s="132"/>
      <c r="C863" s="132"/>
      <c r="Q863" s="133"/>
      <c r="Y863" s="134"/>
      <c r="AB863" s="135"/>
      <c r="AE863" s="134"/>
      <c r="AF863" s="132"/>
      <c r="AH863" s="136"/>
      <c r="AJ863" s="137"/>
      <c r="AK863" s="137"/>
      <c r="AL863" s="137"/>
    </row>
    <row r="864">
      <c r="A864" s="131"/>
      <c r="B864" s="132"/>
      <c r="C864" s="132"/>
      <c r="Q864" s="133"/>
      <c r="Y864" s="134"/>
      <c r="AB864" s="135"/>
      <c r="AE864" s="134"/>
      <c r="AF864" s="132"/>
      <c r="AH864" s="136"/>
      <c r="AJ864" s="137"/>
      <c r="AK864" s="137"/>
      <c r="AL864" s="137"/>
    </row>
    <row r="865">
      <c r="A865" s="131"/>
      <c r="B865" s="132"/>
      <c r="C865" s="132"/>
      <c r="Q865" s="133"/>
      <c r="Y865" s="134"/>
      <c r="AB865" s="135"/>
      <c r="AE865" s="134"/>
      <c r="AF865" s="132"/>
      <c r="AH865" s="136"/>
      <c r="AJ865" s="137"/>
      <c r="AK865" s="137"/>
      <c r="AL865" s="137"/>
    </row>
    <row r="866">
      <c r="A866" s="131"/>
      <c r="B866" s="132"/>
      <c r="C866" s="132"/>
      <c r="Q866" s="133"/>
      <c r="Y866" s="134"/>
      <c r="AB866" s="135"/>
      <c r="AE866" s="134"/>
      <c r="AF866" s="132"/>
      <c r="AH866" s="136"/>
      <c r="AJ866" s="137"/>
      <c r="AK866" s="137"/>
      <c r="AL866" s="137"/>
    </row>
    <row r="867">
      <c r="A867" s="131"/>
      <c r="B867" s="132"/>
      <c r="C867" s="132"/>
      <c r="Q867" s="133"/>
      <c r="Y867" s="134"/>
      <c r="AB867" s="135"/>
      <c r="AE867" s="134"/>
      <c r="AF867" s="132"/>
      <c r="AH867" s="136"/>
      <c r="AJ867" s="137"/>
      <c r="AK867" s="137"/>
      <c r="AL867" s="137"/>
    </row>
    <row r="868">
      <c r="A868" s="131"/>
      <c r="B868" s="132"/>
      <c r="C868" s="132"/>
      <c r="Q868" s="133"/>
      <c r="Y868" s="134"/>
      <c r="AB868" s="135"/>
      <c r="AE868" s="134"/>
      <c r="AF868" s="132"/>
      <c r="AH868" s="136"/>
      <c r="AJ868" s="137"/>
      <c r="AK868" s="137"/>
      <c r="AL868" s="137"/>
    </row>
    <row r="869">
      <c r="A869" s="131"/>
      <c r="B869" s="132"/>
      <c r="C869" s="132"/>
      <c r="Q869" s="133"/>
      <c r="Y869" s="134"/>
      <c r="AB869" s="135"/>
      <c r="AE869" s="134"/>
      <c r="AF869" s="132"/>
      <c r="AH869" s="136"/>
      <c r="AJ869" s="137"/>
      <c r="AK869" s="137"/>
      <c r="AL869" s="137"/>
    </row>
    <row r="870">
      <c r="A870" s="131"/>
      <c r="B870" s="132"/>
      <c r="C870" s="132"/>
      <c r="Q870" s="133"/>
      <c r="Y870" s="134"/>
      <c r="AB870" s="135"/>
      <c r="AE870" s="134"/>
      <c r="AF870" s="132"/>
      <c r="AH870" s="136"/>
      <c r="AJ870" s="137"/>
      <c r="AK870" s="137"/>
      <c r="AL870" s="137"/>
    </row>
    <row r="871">
      <c r="A871" s="131"/>
      <c r="B871" s="132"/>
      <c r="C871" s="132"/>
      <c r="Q871" s="133"/>
      <c r="Y871" s="134"/>
      <c r="AB871" s="135"/>
      <c r="AE871" s="134"/>
      <c r="AF871" s="132"/>
      <c r="AH871" s="136"/>
      <c r="AJ871" s="137"/>
      <c r="AK871" s="137"/>
      <c r="AL871" s="137"/>
    </row>
    <row r="872">
      <c r="A872" s="131"/>
      <c r="B872" s="132"/>
      <c r="C872" s="132"/>
      <c r="Q872" s="133"/>
      <c r="Y872" s="134"/>
      <c r="AB872" s="135"/>
      <c r="AE872" s="134"/>
      <c r="AF872" s="132"/>
      <c r="AH872" s="136"/>
      <c r="AJ872" s="137"/>
      <c r="AK872" s="137"/>
      <c r="AL872" s="137"/>
    </row>
    <row r="873">
      <c r="A873" s="131"/>
      <c r="B873" s="132"/>
      <c r="C873" s="132"/>
      <c r="Q873" s="133"/>
      <c r="Y873" s="134"/>
      <c r="AB873" s="135"/>
      <c r="AE873" s="134"/>
      <c r="AF873" s="132"/>
      <c r="AH873" s="136"/>
      <c r="AJ873" s="137"/>
      <c r="AK873" s="137"/>
      <c r="AL873" s="137"/>
    </row>
    <row r="874">
      <c r="A874" s="131"/>
      <c r="B874" s="132"/>
      <c r="C874" s="132"/>
      <c r="Q874" s="133"/>
      <c r="Y874" s="134"/>
      <c r="AB874" s="135"/>
      <c r="AE874" s="134"/>
      <c r="AF874" s="132"/>
      <c r="AH874" s="136"/>
      <c r="AJ874" s="137"/>
      <c r="AK874" s="137"/>
      <c r="AL874" s="137"/>
    </row>
    <row r="875">
      <c r="A875" s="131"/>
      <c r="B875" s="132"/>
      <c r="C875" s="132"/>
      <c r="Q875" s="133"/>
      <c r="Y875" s="134"/>
      <c r="AB875" s="135"/>
      <c r="AE875" s="134"/>
      <c r="AF875" s="132"/>
      <c r="AH875" s="136"/>
      <c r="AJ875" s="137"/>
      <c r="AK875" s="137"/>
      <c r="AL875" s="137"/>
    </row>
    <row r="876">
      <c r="A876" s="131"/>
      <c r="B876" s="132"/>
      <c r="C876" s="132"/>
      <c r="Q876" s="133"/>
      <c r="Y876" s="134"/>
      <c r="AB876" s="135"/>
      <c r="AE876" s="134"/>
      <c r="AF876" s="132"/>
      <c r="AH876" s="136"/>
      <c r="AJ876" s="137"/>
      <c r="AK876" s="137"/>
      <c r="AL876" s="137"/>
    </row>
    <row r="877">
      <c r="A877" s="131"/>
      <c r="B877" s="132"/>
      <c r="C877" s="132"/>
      <c r="Q877" s="133"/>
      <c r="Y877" s="134"/>
      <c r="AB877" s="135"/>
      <c r="AE877" s="134"/>
      <c r="AF877" s="132"/>
      <c r="AH877" s="136"/>
      <c r="AJ877" s="137"/>
      <c r="AK877" s="137"/>
      <c r="AL877" s="137"/>
    </row>
    <row r="878">
      <c r="A878" s="131"/>
      <c r="B878" s="132"/>
      <c r="C878" s="132"/>
      <c r="Q878" s="133"/>
      <c r="Y878" s="134"/>
      <c r="AB878" s="135"/>
      <c r="AE878" s="134"/>
      <c r="AF878" s="132"/>
      <c r="AH878" s="136"/>
      <c r="AJ878" s="137"/>
      <c r="AK878" s="137"/>
      <c r="AL878" s="137"/>
    </row>
    <row r="879">
      <c r="A879" s="131"/>
      <c r="B879" s="132"/>
      <c r="C879" s="132"/>
      <c r="Q879" s="133"/>
      <c r="Y879" s="134"/>
      <c r="AB879" s="135"/>
      <c r="AE879" s="134"/>
      <c r="AF879" s="132"/>
      <c r="AH879" s="136"/>
      <c r="AJ879" s="137"/>
      <c r="AK879" s="137"/>
      <c r="AL879" s="137"/>
    </row>
    <row r="880">
      <c r="A880" s="131"/>
      <c r="B880" s="132"/>
      <c r="C880" s="132"/>
      <c r="Q880" s="133"/>
      <c r="Y880" s="134"/>
      <c r="AB880" s="135"/>
      <c r="AE880" s="134"/>
      <c r="AF880" s="132"/>
      <c r="AH880" s="136"/>
      <c r="AJ880" s="137"/>
      <c r="AK880" s="137"/>
      <c r="AL880" s="137"/>
    </row>
    <row r="881">
      <c r="A881" s="131"/>
      <c r="B881" s="132"/>
      <c r="C881" s="132"/>
      <c r="Q881" s="133"/>
      <c r="Y881" s="134"/>
      <c r="AB881" s="135"/>
      <c r="AE881" s="134"/>
      <c r="AF881" s="132"/>
      <c r="AH881" s="136"/>
      <c r="AJ881" s="137"/>
      <c r="AK881" s="137"/>
      <c r="AL881" s="137"/>
    </row>
    <row r="882">
      <c r="A882" s="131"/>
      <c r="B882" s="132"/>
      <c r="C882" s="132"/>
      <c r="Q882" s="133"/>
      <c r="Y882" s="134"/>
      <c r="AB882" s="135"/>
      <c r="AE882" s="134"/>
      <c r="AF882" s="132"/>
      <c r="AH882" s="136"/>
      <c r="AJ882" s="137"/>
      <c r="AK882" s="137"/>
      <c r="AL882" s="137"/>
    </row>
    <row r="883">
      <c r="A883" s="131"/>
      <c r="B883" s="132"/>
      <c r="C883" s="132"/>
      <c r="Q883" s="133"/>
      <c r="Y883" s="134"/>
      <c r="AB883" s="135"/>
      <c r="AE883" s="134"/>
      <c r="AF883" s="132"/>
      <c r="AH883" s="136"/>
      <c r="AJ883" s="137"/>
      <c r="AK883" s="137"/>
      <c r="AL883" s="137"/>
    </row>
    <row r="884">
      <c r="A884" s="131"/>
      <c r="B884" s="132"/>
      <c r="C884" s="132"/>
      <c r="Q884" s="133"/>
      <c r="Y884" s="134"/>
      <c r="AB884" s="135"/>
      <c r="AE884" s="134"/>
      <c r="AF884" s="132"/>
      <c r="AH884" s="136"/>
      <c r="AJ884" s="137"/>
      <c r="AK884" s="137"/>
      <c r="AL884" s="137"/>
    </row>
    <row r="885">
      <c r="A885" s="131"/>
      <c r="B885" s="132"/>
      <c r="C885" s="132"/>
      <c r="Q885" s="133"/>
      <c r="Y885" s="134"/>
      <c r="AB885" s="135"/>
      <c r="AE885" s="134"/>
      <c r="AF885" s="132"/>
      <c r="AH885" s="136"/>
      <c r="AJ885" s="137"/>
      <c r="AK885" s="137"/>
      <c r="AL885" s="137"/>
    </row>
    <row r="886">
      <c r="A886" s="131"/>
      <c r="B886" s="132"/>
      <c r="C886" s="132"/>
      <c r="Q886" s="133"/>
      <c r="Y886" s="134"/>
      <c r="AB886" s="135"/>
      <c r="AE886" s="134"/>
      <c r="AF886" s="132"/>
      <c r="AH886" s="136"/>
      <c r="AJ886" s="137"/>
      <c r="AK886" s="137"/>
      <c r="AL886" s="137"/>
    </row>
    <row r="887">
      <c r="A887" s="131"/>
      <c r="B887" s="132"/>
      <c r="C887" s="132"/>
      <c r="Q887" s="133"/>
      <c r="Y887" s="134"/>
      <c r="AB887" s="135"/>
      <c r="AE887" s="134"/>
      <c r="AF887" s="132"/>
      <c r="AH887" s="136"/>
      <c r="AJ887" s="137"/>
      <c r="AK887" s="137"/>
      <c r="AL887" s="137"/>
    </row>
    <row r="888">
      <c r="A888" s="131"/>
      <c r="B888" s="132"/>
      <c r="C888" s="132"/>
      <c r="Q888" s="133"/>
      <c r="Y888" s="134"/>
      <c r="AB888" s="135"/>
      <c r="AE888" s="134"/>
      <c r="AF888" s="132"/>
      <c r="AH888" s="136"/>
      <c r="AJ888" s="137"/>
      <c r="AK888" s="137"/>
      <c r="AL888" s="137"/>
    </row>
    <row r="889">
      <c r="A889" s="131"/>
      <c r="B889" s="132"/>
      <c r="C889" s="132"/>
      <c r="Q889" s="133"/>
      <c r="Y889" s="134"/>
      <c r="AB889" s="135"/>
      <c r="AE889" s="134"/>
      <c r="AF889" s="132"/>
      <c r="AH889" s="136"/>
      <c r="AJ889" s="137"/>
      <c r="AK889" s="137"/>
      <c r="AL889" s="137"/>
    </row>
    <row r="890">
      <c r="A890" s="131"/>
      <c r="B890" s="132"/>
      <c r="C890" s="132"/>
      <c r="Q890" s="133"/>
      <c r="Y890" s="134"/>
      <c r="AB890" s="135"/>
      <c r="AE890" s="134"/>
      <c r="AF890" s="132"/>
      <c r="AH890" s="136"/>
      <c r="AJ890" s="137"/>
      <c r="AK890" s="137"/>
      <c r="AL890" s="137"/>
    </row>
    <row r="891">
      <c r="A891" s="131"/>
      <c r="B891" s="132"/>
      <c r="C891" s="132"/>
      <c r="Q891" s="133"/>
      <c r="Y891" s="134"/>
      <c r="AB891" s="135"/>
      <c r="AE891" s="134"/>
      <c r="AF891" s="132"/>
      <c r="AH891" s="136"/>
      <c r="AJ891" s="137"/>
      <c r="AK891" s="137"/>
      <c r="AL891" s="137"/>
    </row>
    <row r="892">
      <c r="A892" s="131"/>
      <c r="B892" s="132"/>
      <c r="C892" s="132"/>
      <c r="Q892" s="133"/>
      <c r="Y892" s="134"/>
      <c r="AB892" s="135"/>
      <c r="AE892" s="134"/>
      <c r="AF892" s="132"/>
      <c r="AH892" s="136"/>
      <c r="AJ892" s="137"/>
      <c r="AK892" s="137"/>
      <c r="AL892" s="137"/>
    </row>
    <row r="893">
      <c r="A893" s="131"/>
      <c r="B893" s="132"/>
      <c r="C893" s="132"/>
      <c r="Q893" s="133"/>
      <c r="Y893" s="134"/>
      <c r="AB893" s="135"/>
      <c r="AE893" s="134"/>
      <c r="AF893" s="132"/>
      <c r="AH893" s="136"/>
      <c r="AJ893" s="137"/>
      <c r="AK893" s="137"/>
      <c r="AL893" s="137"/>
    </row>
    <row r="894">
      <c r="A894" s="131"/>
      <c r="B894" s="132"/>
      <c r="C894" s="132"/>
      <c r="Q894" s="133"/>
      <c r="Y894" s="134"/>
      <c r="AB894" s="135"/>
      <c r="AE894" s="134"/>
      <c r="AF894" s="132"/>
      <c r="AH894" s="136"/>
      <c r="AJ894" s="137"/>
      <c r="AK894" s="137"/>
      <c r="AL894" s="137"/>
    </row>
    <row r="895">
      <c r="A895" s="131"/>
      <c r="B895" s="132"/>
      <c r="C895" s="132"/>
      <c r="Q895" s="133"/>
      <c r="Y895" s="134"/>
      <c r="AB895" s="135"/>
      <c r="AE895" s="134"/>
      <c r="AF895" s="132"/>
      <c r="AH895" s="136"/>
      <c r="AJ895" s="137"/>
      <c r="AK895" s="137"/>
      <c r="AL895" s="137"/>
    </row>
    <row r="896">
      <c r="A896" s="131"/>
      <c r="B896" s="132"/>
      <c r="C896" s="132"/>
      <c r="Q896" s="133"/>
      <c r="Y896" s="134"/>
      <c r="AB896" s="135"/>
      <c r="AE896" s="134"/>
      <c r="AF896" s="132"/>
      <c r="AH896" s="136"/>
      <c r="AJ896" s="137"/>
      <c r="AK896" s="137"/>
      <c r="AL896" s="137"/>
    </row>
    <row r="897">
      <c r="A897" s="131"/>
      <c r="B897" s="132"/>
      <c r="C897" s="132"/>
      <c r="Q897" s="133"/>
      <c r="Y897" s="134"/>
      <c r="AB897" s="135"/>
      <c r="AE897" s="134"/>
      <c r="AF897" s="132"/>
      <c r="AH897" s="136"/>
      <c r="AJ897" s="137"/>
      <c r="AK897" s="137"/>
      <c r="AL897" s="137"/>
    </row>
    <row r="898">
      <c r="A898" s="131"/>
      <c r="B898" s="132"/>
      <c r="C898" s="132"/>
      <c r="Q898" s="133"/>
      <c r="Y898" s="134"/>
      <c r="AB898" s="135"/>
      <c r="AE898" s="134"/>
      <c r="AF898" s="132"/>
      <c r="AH898" s="136"/>
      <c r="AJ898" s="137"/>
      <c r="AK898" s="137"/>
      <c r="AL898" s="137"/>
    </row>
    <row r="899">
      <c r="A899" s="131"/>
      <c r="B899" s="132"/>
      <c r="C899" s="132"/>
      <c r="Q899" s="133"/>
      <c r="Y899" s="134"/>
      <c r="AB899" s="135"/>
      <c r="AE899" s="134"/>
      <c r="AF899" s="132"/>
      <c r="AH899" s="136"/>
      <c r="AJ899" s="137"/>
      <c r="AK899" s="137"/>
      <c r="AL899" s="137"/>
    </row>
    <row r="900">
      <c r="A900" s="131"/>
      <c r="B900" s="132"/>
      <c r="C900" s="132"/>
      <c r="Q900" s="133"/>
      <c r="Y900" s="134"/>
      <c r="AB900" s="135"/>
      <c r="AE900" s="134"/>
      <c r="AF900" s="132"/>
      <c r="AH900" s="136"/>
      <c r="AJ900" s="137"/>
      <c r="AK900" s="137"/>
      <c r="AL900" s="137"/>
    </row>
    <row r="901">
      <c r="A901" s="131"/>
      <c r="B901" s="132"/>
      <c r="C901" s="132"/>
      <c r="Q901" s="133"/>
      <c r="Y901" s="134"/>
      <c r="AB901" s="135"/>
      <c r="AE901" s="134"/>
      <c r="AF901" s="132"/>
      <c r="AH901" s="136"/>
      <c r="AJ901" s="137"/>
      <c r="AK901" s="137"/>
      <c r="AL901" s="137"/>
    </row>
    <row r="902">
      <c r="A902" s="131"/>
      <c r="B902" s="132"/>
      <c r="C902" s="132"/>
      <c r="Q902" s="133"/>
      <c r="Y902" s="134"/>
      <c r="AB902" s="135"/>
      <c r="AE902" s="134"/>
      <c r="AF902" s="132"/>
      <c r="AH902" s="136"/>
      <c r="AJ902" s="137"/>
      <c r="AK902" s="137"/>
      <c r="AL902" s="137"/>
    </row>
    <row r="903">
      <c r="A903" s="131"/>
      <c r="B903" s="132"/>
      <c r="C903" s="132"/>
      <c r="Q903" s="133"/>
      <c r="Y903" s="134"/>
      <c r="AB903" s="135"/>
      <c r="AE903" s="134"/>
      <c r="AF903" s="132"/>
      <c r="AH903" s="136"/>
      <c r="AJ903" s="137"/>
      <c r="AK903" s="137"/>
      <c r="AL903" s="137"/>
    </row>
    <row r="904">
      <c r="A904" s="131"/>
      <c r="B904" s="132"/>
      <c r="C904" s="132"/>
      <c r="Q904" s="133"/>
      <c r="Y904" s="134"/>
      <c r="AB904" s="135"/>
      <c r="AE904" s="134"/>
      <c r="AF904" s="132"/>
      <c r="AH904" s="136"/>
      <c r="AJ904" s="137"/>
      <c r="AK904" s="137"/>
      <c r="AL904" s="137"/>
    </row>
    <row r="905">
      <c r="A905" s="131"/>
      <c r="B905" s="132"/>
      <c r="C905" s="132"/>
      <c r="Q905" s="133"/>
      <c r="Y905" s="134"/>
      <c r="AB905" s="135"/>
      <c r="AE905" s="134"/>
      <c r="AF905" s="132"/>
      <c r="AH905" s="136"/>
      <c r="AJ905" s="137"/>
      <c r="AK905" s="137"/>
      <c r="AL905" s="137"/>
    </row>
    <row r="906">
      <c r="A906" s="131"/>
      <c r="B906" s="132"/>
      <c r="C906" s="132"/>
      <c r="Q906" s="133"/>
      <c r="Y906" s="134"/>
      <c r="AB906" s="135"/>
      <c r="AE906" s="134"/>
      <c r="AF906" s="132"/>
      <c r="AH906" s="136"/>
      <c r="AJ906" s="137"/>
      <c r="AK906" s="137"/>
      <c r="AL906" s="137"/>
    </row>
    <row r="907">
      <c r="A907" s="131"/>
      <c r="B907" s="132"/>
      <c r="C907" s="132"/>
      <c r="Q907" s="133"/>
      <c r="Y907" s="134"/>
      <c r="AB907" s="135"/>
      <c r="AE907" s="134"/>
      <c r="AF907" s="132"/>
      <c r="AH907" s="136"/>
      <c r="AJ907" s="137"/>
      <c r="AK907" s="137"/>
      <c r="AL907" s="137"/>
    </row>
    <row r="908">
      <c r="A908" s="131"/>
      <c r="B908" s="132"/>
      <c r="C908" s="132"/>
      <c r="Q908" s="133"/>
      <c r="Y908" s="134"/>
      <c r="AB908" s="135"/>
      <c r="AE908" s="134"/>
      <c r="AF908" s="132"/>
      <c r="AH908" s="136"/>
      <c r="AJ908" s="137"/>
      <c r="AK908" s="137"/>
      <c r="AL908" s="137"/>
    </row>
    <row r="909">
      <c r="A909" s="131"/>
      <c r="B909" s="132"/>
      <c r="C909" s="132"/>
      <c r="Q909" s="133"/>
      <c r="Y909" s="134"/>
      <c r="AB909" s="135"/>
      <c r="AE909" s="134"/>
      <c r="AF909" s="132"/>
      <c r="AH909" s="136"/>
      <c r="AJ909" s="137"/>
      <c r="AK909" s="137"/>
      <c r="AL909" s="137"/>
    </row>
    <row r="910">
      <c r="A910" s="131"/>
      <c r="B910" s="132"/>
      <c r="C910" s="132"/>
      <c r="Q910" s="133"/>
      <c r="Y910" s="134"/>
      <c r="AB910" s="135"/>
      <c r="AE910" s="134"/>
      <c r="AF910" s="132"/>
      <c r="AH910" s="136"/>
      <c r="AJ910" s="137"/>
      <c r="AK910" s="137"/>
      <c r="AL910" s="137"/>
    </row>
    <row r="911">
      <c r="A911" s="131"/>
      <c r="B911" s="132"/>
      <c r="C911" s="132"/>
      <c r="Q911" s="133"/>
      <c r="Y911" s="134"/>
      <c r="AB911" s="135"/>
      <c r="AE911" s="134"/>
      <c r="AF911" s="132"/>
      <c r="AH911" s="136"/>
      <c r="AJ911" s="137"/>
      <c r="AK911" s="137"/>
      <c r="AL911" s="137"/>
    </row>
    <row r="912">
      <c r="A912" s="131"/>
      <c r="B912" s="132"/>
      <c r="C912" s="132"/>
      <c r="Q912" s="133"/>
      <c r="Y912" s="134"/>
      <c r="AB912" s="135"/>
      <c r="AE912" s="134"/>
      <c r="AF912" s="132"/>
      <c r="AH912" s="136"/>
      <c r="AJ912" s="137"/>
      <c r="AK912" s="137"/>
      <c r="AL912" s="137"/>
    </row>
    <row r="913">
      <c r="A913" s="131"/>
      <c r="B913" s="132"/>
      <c r="C913" s="132"/>
      <c r="Q913" s="133"/>
      <c r="Y913" s="134"/>
      <c r="AB913" s="135"/>
      <c r="AE913" s="134"/>
      <c r="AF913" s="132"/>
      <c r="AH913" s="136"/>
      <c r="AJ913" s="137"/>
      <c r="AK913" s="137"/>
      <c r="AL913" s="137"/>
    </row>
    <row r="914">
      <c r="A914" s="131"/>
      <c r="B914" s="132"/>
      <c r="C914" s="132"/>
      <c r="Q914" s="133"/>
      <c r="Y914" s="134"/>
      <c r="AB914" s="135"/>
      <c r="AE914" s="134"/>
      <c r="AF914" s="132"/>
      <c r="AH914" s="136"/>
      <c r="AJ914" s="137"/>
      <c r="AK914" s="137"/>
      <c r="AL914" s="137"/>
    </row>
    <row r="915">
      <c r="A915" s="131"/>
      <c r="B915" s="132"/>
      <c r="C915" s="132"/>
      <c r="Q915" s="133"/>
      <c r="Y915" s="134"/>
      <c r="AB915" s="135"/>
      <c r="AE915" s="134"/>
      <c r="AF915" s="132"/>
      <c r="AH915" s="136"/>
      <c r="AJ915" s="137"/>
      <c r="AK915" s="137"/>
      <c r="AL915" s="137"/>
    </row>
    <row r="916">
      <c r="A916" s="131"/>
      <c r="B916" s="132"/>
      <c r="C916" s="132"/>
      <c r="Q916" s="133"/>
      <c r="Y916" s="134"/>
      <c r="AB916" s="135"/>
      <c r="AE916" s="134"/>
      <c r="AF916" s="132"/>
      <c r="AH916" s="136"/>
      <c r="AJ916" s="137"/>
      <c r="AK916" s="137"/>
      <c r="AL916" s="137"/>
    </row>
    <row r="917">
      <c r="A917" s="131"/>
      <c r="B917" s="132"/>
      <c r="C917" s="132"/>
      <c r="Q917" s="133"/>
      <c r="Y917" s="134"/>
      <c r="AB917" s="135"/>
      <c r="AE917" s="134"/>
      <c r="AF917" s="132"/>
      <c r="AH917" s="136"/>
      <c r="AJ917" s="137"/>
      <c r="AK917" s="137"/>
      <c r="AL917" s="137"/>
    </row>
    <row r="918">
      <c r="A918" s="131"/>
      <c r="B918" s="132"/>
      <c r="C918" s="132"/>
      <c r="Q918" s="133"/>
      <c r="Y918" s="134"/>
      <c r="AB918" s="135"/>
      <c r="AE918" s="134"/>
      <c r="AF918" s="132"/>
      <c r="AH918" s="136"/>
      <c r="AJ918" s="137"/>
      <c r="AK918" s="137"/>
      <c r="AL918" s="137"/>
    </row>
    <row r="919">
      <c r="A919" s="131"/>
      <c r="B919" s="132"/>
      <c r="C919" s="132"/>
      <c r="Q919" s="133"/>
      <c r="Y919" s="134"/>
      <c r="AB919" s="135"/>
      <c r="AE919" s="134"/>
      <c r="AF919" s="132"/>
      <c r="AH919" s="136"/>
      <c r="AJ919" s="137"/>
      <c r="AK919" s="137"/>
      <c r="AL919" s="137"/>
    </row>
    <row r="920">
      <c r="A920" s="131"/>
      <c r="B920" s="132"/>
      <c r="C920" s="132"/>
      <c r="Q920" s="133"/>
      <c r="Y920" s="134"/>
      <c r="AB920" s="135"/>
      <c r="AE920" s="134"/>
      <c r="AF920" s="132"/>
      <c r="AH920" s="136"/>
      <c r="AJ920" s="137"/>
      <c r="AK920" s="137"/>
      <c r="AL920" s="137"/>
    </row>
    <row r="921">
      <c r="A921" s="131"/>
      <c r="B921" s="132"/>
      <c r="C921" s="132"/>
      <c r="Q921" s="133"/>
      <c r="Y921" s="134"/>
      <c r="AB921" s="135"/>
      <c r="AE921" s="134"/>
      <c r="AF921" s="132"/>
      <c r="AH921" s="136"/>
      <c r="AJ921" s="137"/>
      <c r="AK921" s="137"/>
      <c r="AL921" s="137"/>
    </row>
    <row r="922">
      <c r="A922" s="131"/>
      <c r="B922" s="132"/>
      <c r="C922" s="132"/>
      <c r="Q922" s="133"/>
      <c r="Y922" s="134"/>
      <c r="AB922" s="135"/>
      <c r="AE922" s="134"/>
      <c r="AF922" s="132"/>
      <c r="AH922" s="136"/>
      <c r="AJ922" s="137"/>
      <c r="AK922" s="137"/>
      <c r="AL922" s="137"/>
    </row>
    <row r="923">
      <c r="A923" s="131"/>
      <c r="B923" s="132"/>
      <c r="C923" s="132"/>
      <c r="Q923" s="133"/>
      <c r="Y923" s="134"/>
      <c r="AB923" s="135"/>
      <c r="AE923" s="134"/>
      <c r="AF923" s="132"/>
      <c r="AH923" s="136"/>
      <c r="AJ923" s="137"/>
      <c r="AK923" s="137"/>
      <c r="AL923" s="137"/>
    </row>
    <row r="924">
      <c r="A924" s="131"/>
      <c r="B924" s="132"/>
      <c r="C924" s="132"/>
      <c r="Q924" s="133"/>
      <c r="Y924" s="134"/>
      <c r="AB924" s="135"/>
      <c r="AE924" s="134"/>
      <c r="AF924" s="132"/>
      <c r="AH924" s="136"/>
      <c r="AJ924" s="137"/>
      <c r="AK924" s="137"/>
      <c r="AL924" s="137"/>
    </row>
    <row r="925">
      <c r="A925" s="131"/>
      <c r="B925" s="132"/>
      <c r="C925" s="132"/>
      <c r="Q925" s="133"/>
      <c r="Y925" s="134"/>
      <c r="AB925" s="135"/>
      <c r="AE925" s="134"/>
      <c r="AF925" s="132"/>
      <c r="AH925" s="136"/>
      <c r="AJ925" s="137"/>
      <c r="AK925" s="137"/>
      <c r="AL925" s="137"/>
    </row>
    <row r="926">
      <c r="A926" s="131"/>
      <c r="B926" s="132"/>
      <c r="C926" s="132"/>
      <c r="Q926" s="133"/>
      <c r="Y926" s="134"/>
      <c r="AB926" s="135"/>
      <c r="AE926" s="134"/>
      <c r="AF926" s="132"/>
      <c r="AH926" s="136"/>
      <c r="AJ926" s="137"/>
      <c r="AK926" s="137"/>
      <c r="AL926" s="137"/>
    </row>
    <row r="927">
      <c r="A927" s="131"/>
      <c r="B927" s="132"/>
      <c r="C927" s="132"/>
      <c r="Q927" s="133"/>
      <c r="Y927" s="134"/>
      <c r="AB927" s="135"/>
      <c r="AE927" s="134"/>
      <c r="AF927" s="132"/>
      <c r="AH927" s="136"/>
      <c r="AJ927" s="137"/>
      <c r="AK927" s="137"/>
      <c r="AL927" s="137"/>
    </row>
    <row r="928">
      <c r="A928" s="131"/>
      <c r="B928" s="132"/>
      <c r="C928" s="132"/>
      <c r="Q928" s="133"/>
      <c r="Y928" s="134"/>
      <c r="AB928" s="135"/>
      <c r="AE928" s="134"/>
      <c r="AF928" s="132"/>
      <c r="AH928" s="136"/>
      <c r="AJ928" s="137"/>
      <c r="AK928" s="137"/>
      <c r="AL928" s="137"/>
    </row>
    <row r="929">
      <c r="A929" s="131"/>
      <c r="B929" s="132"/>
      <c r="C929" s="132"/>
      <c r="Q929" s="133"/>
      <c r="Y929" s="134"/>
      <c r="AB929" s="135"/>
      <c r="AE929" s="134"/>
      <c r="AF929" s="132"/>
      <c r="AH929" s="136"/>
      <c r="AJ929" s="137"/>
      <c r="AK929" s="137"/>
      <c r="AL929" s="137"/>
    </row>
    <row r="930">
      <c r="A930" s="131"/>
      <c r="B930" s="132"/>
      <c r="C930" s="132"/>
      <c r="Q930" s="133"/>
      <c r="Y930" s="134"/>
      <c r="AB930" s="135"/>
      <c r="AE930" s="134"/>
      <c r="AF930" s="132"/>
      <c r="AH930" s="136"/>
      <c r="AJ930" s="137"/>
      <c r="AK930" s="137"/>
      <c r="AL930" s="137"/>
    </row>
    <row r="931">
      <c r="A931" s="131"/>
      <c r="B931" s="132"/>
      <c r="C931" s="132"/>
      <c r="Q931" s="133"/>
      <c r="Y931" s="134"/>
      <c r="AB931" s="135"/>
      <c r="AE931" s="134"/>
      <c r="AF931" s="132"/>
      <c r="AH931" s="136"/>
      <c r="AJ931" s="137"/>
      <c r="AK931" s="137"/>
      <c r="AL931" s="137"/>
    </row>
    <row r="932">
      <c r="A932" s="131"/>
      <c r="B932" s="132"/>
      <c r="C932" s="132"/>
      <c r="Q932" s="133"/>
      <c r="Y932" s="134"/>
      <c r="AB932" s="135"/>
      <c r="AE932" s="134"/>
      <c r="AF932" s="132"/>
      <c r="AH932" s="136"/>
      <c r="AJ932" s="137"/>
      <c r="AK932" s="137"/>
      <c r="AL932" s="137"/>
    </row>
    <row r="933">
      <c r="A933" s="131"/>
      <c r="B933" s="132"/>
      <c r="C933" s="132"/>
      <c r="Q933" s="133"/>
      <c r="Y933" s="134"/>
      <c r="AB933" s="135"/>
      <c r="AE933" s="134"/>
      <c r="AF933" s="132"/>
      <c r="AH933" s="136"/>
      <c r="AJ933" s="137"/>
      <c r="AK933" s="137"/>
      <c r="AL933" s="137"/>
    </row>
    <row r="934">
      <c r="A934" s="131"/>
      <c r="B934" s="132"/>
      <c r="C934" s="132"/>
      <c r="Q934" s="133"/>
      <c r="Y934" s="134"/>
      <c r="AB934" s="135"/>
      <c r="AE934" s="134"/>
      <c r="AF934" s="132"/>
      <c r="AH934" s="136"/>
      <c r="AJ934" s="137"/>
      <c r="AK934" s="137"/>
      <c r="AL934" s="137"/>
    </row>
    <row r="935">
      <c r="A935" s="131"/>
      <c r="B935" s="132"/>
      <c r="C935" s="132"/>
      <c r="Q935" s="133"/>
      <c r="Y935" s="134"/>
      <c r="AB935" s="135"/>
      <c r="AE935" s="134"/>
      <c r="AF935" s="132"/>
      <c r="AH935" s="136"/>
      <c r="AJ935" s="137"/>
      <c r="AK935" s="137"/>
      <c r="AL935" s="137"/>
    </row>
    <row r="936">
      <c r="A936" s="131"/>
      <c r="B936" s="132"/>
      <c r="C936" s="132"/>
      <c r="Q936" s="133"/>
      <c r="Y936" s="134"/>
      <c r="AB936" s="135"/>
      <c r="AE936" s="134"/>
      <c r="AF936" s="132"/>
      <c r="AH936" s="136"/>
      <c r="AJ936" s="137"/>
      <c r="AK936" s="137"/>
      <c r="AL936" s="137"/>
    </row>
    <row r="937">
      <c r="A937" s="131"/>
      <c r="B937" s="132"/>
      <c r="C937" s="132"/>
      <c r="Q937" s="133"/>
      <c r="Y937" s="134"/>
      <c r="AB937" s="135"/>
      <c r="AE937" s="134"/>
      <c r="AF937" s="132"/>
      <c r="AH937" s="136"/>
      <c r="AJ937" s="137"/>
      <c r="AK937" s="137"/>
      <c r="AL937" s="137"/>
    </row>
    <row r="938">
      <c r="A938" s="131"/>
      <c r="B938" s="132"/>
      <c r="C938" s="132"/>
      <c r="Q938" s="133"/>
      <c r="Y938" s="134"/>
      <c r="AB938" s="135"/>
      <c r="AE938" s="134"/>
      <c r="AF938" s="132"/>
      <c r="AH938" s="136"/>
      <c r="AJ938" s="137"/>
      <c r="AK938" s="137"/>
      <c r="AL938" s="137"/>
    </row>
    <row r="939">
      <c r="A939" s="131"/>
      <c r="B939" s="132"/>
      <c r="C939" s="132"/>
      <c r="Q939" s="133"/>
      <c r="Y939" s="134"/>
      <c r="AB939" s="135"/>
      <c r="AE939" s="134"/>
      <c r="AF939" s="132"/>
      <c r="AH939" s="136"/>
      <c r="AJ939" s="137"/>
      <c r="AK939" s="137"/>
      <c r="AL939" s="137"/>
    </row>
    <row r="940">
      <c r="A940" s="131"/>
      <c r="B940" s="132"/>
      <c r="C940" s="132"/>
      <c r="Q940" s="133"/>
      <c r="Y940" s="134"/>
      <c r="AB940" s="135"/>
      <c r="AE940" s="134"/>
      <c r="AF940" s="132"/>
      <c r="AH940" s="136"/>
      <c r="AJ940" s="137"/>
      <c r="AK940" s="137"/>
      <c r="AL940" s="137"/>
    </row>
    <row r="941">
      <c r="A941" s="131"/>
      <c r="B941" s="132"/>
      <c r="C941" s="132"/>
      <c r="Q941" s="133"/>
      <c r="Y941" s="134"/>
      <c r="AB941" s="135"/>
      <c r="AE941" s="134"/>
      <c r="AF941" s="132"/>
      <c r="AH941" s="136"/>
      <c r="AJ941" s="137"/>
      <c r="AK941" s="137"/>
      <c r="AL941" s="137"/>
    </row>
    <row r="942">
      <c r="A942" s="131"/>
      <c r="B942" s="132"/>
      <c r="C942" s="132"/>
      <c r="Q942" s="133"/>
      <c r="Y942" s="134"/>
      <c r="AB942" s="135"/>
      <c r="AE942" s="134"/>
      <c r="AF942" s="132"/>
      <c r="AH942" s="136"/>
      <c r="AJ942" s="137"/>
      <c r="AK942" s="137"/>
      <c r="AL942" s="137"/>
    </row>
    <row r="943">
      <c r="A943" s="131"/>
      <c r="B943" s="132"/>
      <c r="C943" s="132"/>
      <c r="Q943" s="133"/>
      <c r="Y943" s="134"/>
      <c r="AB943" s="135"/>
      <c r="AE943" s="134"/>
      <c r="AF943" s="132"/>
      <c r="AH943" s="136"/>
      <c r="AJ943" s="137"/>
      <c r="AK943" s="137"/>
      <c r="AL943" s="137"/>
    </row>
    <row r="944">
      <c r="A944" s="131"/>
      <c r="B944" s="132"/>
      <c r="C944" s="132"/>
      <c r="Q944" s="133"/>
      <c r="Y944" s="134"/>
      <c r="AB944" s="135"/>
      <c r="AE944" s="134"/>
      <c r="AF944" s="132"/>
      <c r="AH944" s="136"/>
      <c r="AJ944" s="137"/>
      <c r="AK944" s="137"/>
      <c r="AL944" s="137"/>
    </row>
    <row r="945">
      <c r="A945" s="131"/>
      <c r="B945" s="132"/>
      <c r="C945" s="132"/>
      <c r="Q945" s="133"/>
      <c r="Y945" s="134"/>
      <c r="AB945" s="135"/>
      <c r="AE945" s="134"/>
      <c r="AF945" s="132"/>
      <c r="AH945" s="136"/>
      <c r="AJ945" s="137"/>
      <c r="AK945" s="137"/>
      <c r="AL945" s="137"/>
    </row>
    <row r="946">
      <c r="A946" s="131"/>
      <c r="B946" s="132"/>
      <c r="C946" s="132"/>
      <c r="Q946" s="133"/>
      <c r="Y946" s="134"/>
      <c r="AB946" s="135"/>
      <c r="AE946" s="134"/>
      <c r="AF946" s="132"/>
      <c r="AH946" s="136"/>
      <c r="AJ946" s="137"/>
      <c r="AK946" s="137"/>
      <c r="AL946" s="137"/>
    </row>
    <row r="947">
      <c r="A947" s="131"/>
      <c r="B947" s="132"/>
      <c r="C947" s="132"/>
      <c r="Q947" s="133"/>
      <c r="Y947" s="134"/>
      <c r="AB947" s="135"/>
      <c r="AE947" s="134"/>
      <c r="AF947" s="132"/>
      <c r="AH947" s="136"/>
      <c r="AJ947" s="137"/>
      <c r="AK947" s="137"/>
      <c r="AL947" s="137"/>
    </row>
    <row r="948">
      <c r="A948" s="131"/>
      <c r="B948" s="132"/>
      <c r="C948" s="132"/>
      <c r="Q948" s="133"/>
      <c r="Y948" s="134"/>
      <c r="AB948" s="135"/>
      <c r="AE948" s="134"/>
      <c r="AF948" s="132"/>
      <c r="AH948" s="136"/>
      <c r="AJ948" s="137"/>
      <c r="AK948" s="137"/>
      <c r="AL948" s="137"/>
    </row>
    <row r="949">
      <c r="A949" s="131"/>
      <c r="B949" s="132"/>
      <c r="C949" s="132"/>
      <c r="Q949" s="133"/>
      <c r="Y949" s="134"/>
      <c r="AB949" s="135"/>
      <c r="AE949" s="134"/>
      <c r="AF949" s="132"/>
      <c r="AH949" s="136"/>
      <c r="AJ949" s="137"/>
      <c r="AK949" s="137"/>
      <c r="AL949" s="137"/>
    </row>
    <row r="950">
      <c r="A950" s="131"/>
      <c r="B950" s="132"/>
      <c r="C950" s="132"/>
      <c r="Q950" s="133"/>
      <c r="Y950" s="134"/>
      <c r="AB950" s="135"/>
      <c r="AE950" s="134"/>
      <c r="AF950" s="132"/>
      <c r="AH950" s="136"/>
      <c r="AJ950" s="137"/>
      <c r="AK950" s="137"/>
      <c r="AL950" s="137"/>
    </row>
    <row r="951">
      <c r="A951" s="131"/>
      <c r="B951" s="132"/>
      <c r="C951" s="132"/>
      <c r="Q951" s="133"/>
      <c r="Y951" s="134"/>
      <c r="AB951" s="135"/>
      <c r="AE951" s="134"/>
      <c r="AF951" s="132"/>
      <c r="AH951" s="136"/>
      <c r="AJ951" s="137"/>
      <c r="AK951" s="137"/>
      <c r="AL951" s="137"/>
    </row>
    <row r="952">
      <c r="A952" s="131"/>
      <c r="B952" s="132"/>
      <c r="C952" s="132"/>
      <c r="Q952" s="133"/>
      <c r="Y952" s="134"/>
      <c r="AB952" s="135"/>
      <c r="AE952" s="134"/>
      <c r="AF952" s="132"/>
      <c r="AH952" s="136"/>
      <c r="AJ952" s="137"/>
      <c r="AK952" s="137"/>
      <c r="AL952" s="137"/>
    </row>
    <row r="953">
      <c r="A953" s="131"/>
      <c r="B953" s="132"/>
      <c r="C953" s="132"/>
      <c r="Q953" s="133"/>
      <c r="Y953" s="134"/>
      <c r="AB953" s="135"/>
      <c r="AE953" s="134"/>
      <c r="AF953" s="132"/>
      <c r="AH953" s="136"/>
      <c r="AJ953" s="137"/>
      <c r="AK953" s="137"/>
      <c r="AL953" s="137"/>
    </row>
    <row r="954">
      <c r="A954" s="131"/>
      <c r="B954" s="132"/>
      <c r="C954" s="132"/>
      <c r="Q954" s="133"/>
      <c r="Y954" s="134"/>
      <c r="AB954" s="135"/>
      <c r="AE954" s="134"/>
      <c r="AF954" s="132"/>
      <c r="AH954" s="136"/>
      <c r="AJ954" s="137"/>
      <c r="AK954" s="137"/>
      <c r="AL954" s="137"/>
    </row>
    <row r="955">
      <c r="A955" s="131"/>
      <c r="B955" s="132"/>
      <c r="C955" s="132"/>
      <c r="Q955" s="133"/>
      <c r="Y955" s="134"/>
      <c r="AB955" s="135"/>
      <c r="AE955" s="134"/>
      <c r="AF955" s="132"/>
      <c r="AH955" s="136"/>
      <c r="AJ955" s="137"/>
      <c r="AK955" s="137"/>
      <c r="AL955" s="137"/>
    </row>
    <row r="956">
      <c r="A956" s="131"/>
      <c r="B956" s="132"/>
      <c r="C956" s="132"/>
      <c r="Q956" s="133"/>
      <c r="Y956" s="134"/>
      <c r="AB956" s="135"/>
      <c r="AE956" s="134"/>
      <c r="AF956" s="132"/>
      <c r="AH956" s="136"/>
      <c r="AJ956" s="137"/>
      <c r="AK956" s="137"/>
      <c r="AL956" s="137"/>
    </row>
    <row r="957">
      <c r="A957" s="131"/>
      <c r="B957" s="132"/>
      <c r="C957" s="132"/>
      <c r="Q957" s="133"/>
      <c r="Y957" s="134"/>
      <c r="AB957" s="135"/>
      <c r="AE957" s="134"/>
      <c r="AF957" s="132"/>
      <c r="AH957" s="136"/>
      <c r="AJ957" s="137"/>
      <c r="AK957" s="137"/>
      <c r="AL957" s="137"/>
    </row>
    <row r="958">
      <c r="A958" s="131"/>
      <c r="B958" s="132"/>
      <c r="C958" s="132"/>
      <c r="Q958" s="133"/>
      <c r="Y958" s="134"/>
      <c r="AB958" s="135"/>
      <c r="AE958" s="134"/>
      <c r="AF958" s="132"/>
      <c r="AH958" s="136"/>
      <c r="AJ958" s="137"/>
      <c r="AK958" s="137"/>
      <c r="AL958" s="137"/>
    </row>
    <row r="959">
      <c r="A959" s="131"/>
      <c r="B959" s="132"/>
      <c r="C959" s="132"/>
      <c r="Q959" s="133"/>
      <c r="Y959" s="134"/>
      <c r="AB959" s="135"/>
      <c r="AE959" s="134"/>
      <c r="AF959" s="132"/>
      <c r="AH959" s="136"/>
      <c r="AJ959" s="137"/>
      <c r="AK959" s="137"/>
      <c r="AL959" s="137"/>
    </row>
    <row r="960">
      <c r="A960" s="131"/>
      <c r="B960" s="132"/>
      <c r="C960" s="132"/>
      <c r="Q960" s="133"/>
      <c r="Y960" s="134"/>
      <c r="AB960" s="135"/>
      <c r="AE960" s="134"/>
      <c r="AF960" s="132"/>
      <c r="AH960" s="136"/>
      <c r="AJ960" s="137"/>
      <c r="AK960" s="137"/>
      <c r="AL960" s="137"/>
    </row>
    <row r="961">
      <c r="A961" s="131"/>
      <c r="B961" s="132"/>
      <c r="C961" s="132"/>
      <c r="Q961" s="133"/>
      <c r="Y961" s="134"/>
      <c r="AB961" s="135"/>
      <c r="AE961" s="134"/>
      <c r="AF961" s="132"/>
      <c r="AH961" s="136"/>
      <c r="AJ961" s="137"/>
      <c r="AK961" s="137"/>
      <c r="AL961" s="137"/>
    </row>
    <row r="962">
      <c r="A962" s="131"/>
      <c r="B962" s="132"/>
      <c r="C962" s="132"/>
      <c r="Q962" s="133"/>
      <c r="Y962" s="134"/>
      <c r="AB962" s="135"/>
      <c r="AE962" s="134"/>
      <c r="AF962" s="132"/>
      <c r="AH962" s="136"/>
      <c r="AJ962" s="137"/>
      <c r="AK962" s="137"/>
      <c r="AL962" s="137"/>
    </row>
    <row r="963">
      <c r="A963" s="131"/>
      <c r="B963" s="132"/>
      <c r="C963" s="132"/>
      <c r="Q963" s="133"/>
      <c r="Y963" s="134"/>
      <c r="AB963" s="135"/>
      <c r="AE963" s="134"/>
      <c r="AF963" s="132"/>
      <c r="AH963" s="136"/>
      <c r="AJ963" s="137"/>
      <c r="AK963" s="137"/>
      <c r="AL963" s="137"/>
    </row>
    <row r="964">
      <c r="A964" s="131"/>
      <c r="B964" s="132"/>
      <c r="C964" s="132"/>
      <c r="Q964" s="133"/>
      <c r="Y964" s="134"/>
      <c r="AB964" s="135"/>
      <c r="AE964" s="134"/>
      <c r="AF964" s="132"/>
      <c r="AH964" s="136"/>
      <c r="AJ964" s="137"/>
      <c r="AK964" s="137"/>
      <c r="AL964" s="137"/>
    </row>
    <row r="965">
      <c r="A965" s="131"/>
      <c r="B965" s="132"/>
      <c r="C965" s="132"/>
      <c r="Q965" s="133"/>
      <c r="Y965" s="134"/>
      <c r="AB965" s="135"/>
      <c r="AE965" s="134"/>
      <c r="AF965" s="132"/>
      <c r="AH965" s="136"/>
      <c r="AJ965" s="137"/>
      <c r="AK965" s="137"/>
      <c r="AL965" s="137"/>
    </row>
    <row r="966">
      <c r="A966" s="131"/>
      <c r="B966" s="132"/>
      <c r="C966" s="132"/>
      <c r="Q966" s="133"/>
      <c r="Y966" s="134"/>
      <c r="AB966" s="135"/>
      <c r="AE966" s="134"/>
      <c r="AF966" s="132"/>
      <c r="AH966" s="136"/>
      <c r="AJ966" s="137"/>
      <c r="AK966" s="137"/>
      <c r="AL966" s="137"/>
    </row>
    <row r="967">
      <c r="A967" s="131"/>
      <c r="B967" s="132"/>
      <c r="C967" s="132"/>
      <c r="Q967" s="133"/>
      <c r="Y967" s="134"/>
      <c r="AB967" s="135"/>
      <c r="AE967" s="134"/>
      <c r="AF967" s="132"/>
      <c r="AH967" s="136"/>
      <c r="AJ967" s="137"/>
      <c r="AK967" s="137"/>
      <c r="AL967" s="137"/>
    </row>
    <row r="968">
      <c r="A968" s="131"/>
      <c r="B968" s="132"/>
      <c r="C968" s="132"/>
      <c r="Q968" s="133"/>
      <c r="Y968" s="134"/>
      <c r="AB968" s="135"/>
      <c r="AE968" s="134"/>
      <c r="AF968" s="132"/>
      <c r="AH968" s="136"/>
      <c r="AJ968" s="137"/>
      <c r="AK968" s="137"/>
      <c r="AL968" s="137"/>
    </row>
    <row r="969">
      <c r="A969" s="131"/>
      <c r="B969" s="132"/>
      <c r="C969" s="132"/>
      <c r="Q969" s="133"/>
      <c r="Y969" s="134"/>
      <c r="AB969" s="135"/>
      <c r="AE969" s="134"/>
      <c r="AF969" s="132"/>
      <c r="AH969" s="136"/>
      <c r="AJ969" s="137"/>
      <c r="AK969" s="137"/>
      <c r="AL969" s="137"/>
    </row>
    <row r="970">
      <c r="A970" s="131"/>
      <c r="B970" s="132"/>
      <c r="C970" s="132"/>
      <c r="Q970" s="133"/>
      <c r="Y970" s="134"/>
      <c r="AB970" s="135"/>
      <c r="AE970" s="134"/>
      <c r="AF970" s="132"/>
      <c r="AH970" s="136"/>
      <c r="AJ970" s="137"/>
      <c r="AK970" s="137"/>
      <c r="AL970" s="137"/>
    </row>
    <row r="971">
      <c r="A971" s="131"/>
      <c r="B971" s="132"/>
      <c r="C971" s="132"/>
      <c r="Q971" s="133"/>
      <c r="Y971" s="134"/>
      <c r="AB971" s="135"/>
      <c r="AE971" s="134"/>
      <c r="AF971" s="132"/>
      <c r="AH971" s="136"/>
      <c r="AJ971" s="137"/>
      <c r="AK971" s="137"/>
      <c r="AL971" s="137"/>
    </row>
    <row r="972">
      <c r="A972" s="131"/>
      <c r="B972" s="132"/>
      <c r="C972" s="132"/>
      <c r="Q972" s="133"/>
      <c r="Y972" s="134"/>
      <c r="AB972" s="135"/>
      <c r="AE972" s="134"/>
      <c r="AF972" s="132"/>
      <c r="AH972" s="136"/>
      <c r="AJ972" s="137"/>
      <c r="AK972" s="137"/>
      <c r="AL972" s="137"/>
    </row>
    <row r="973">
      <c r="A973" s="131"/>
      <c r="B973" s="132"/>
      <c r="C973" s="132"/>
      <c r="Q973" s="133"/>
      <c r="Y973" s="134"/>
      <c r="AB973" s="135"/>
      <c r="AE973" s="134"/>
      <c r="AF973" s="132"/>
      <c r="AH973" s="136"/>
      <c r="AJ973" s="137"/>
      <c r="AK973" s="137"/>
      <c r="AL973" s="137"/>
    </row>
    <row r="974">
      <c r="A974" s="131"/>
      <c r="B974" s="132"/>
      <c r="C974" s="132"/>
      <c r="Q974" s="133"/>
      <c r="Y974" s="134"/>
      <c r="AB974" s="135"/>
      <c r="AE974" s="134"/>
      <c r="AF974" s="132"/>
      <c r="AH974" s="136"/>
      <c r="AJ974" s="137"/>
      <c r="AK974" s="137"/>
      <c r="AL974" s="137"/>
    </row>
    <row r="975">
      <c r="A975" s="131"/>
      <c r="B975" s="132"/>
      <c r="C975" s="132"/>
      <c r="Q975" s="133"/>
      <c r="Y975" s="134"/>
      <c r="AB975" s="135"/>
      <c r="AE975" s="134"/>
      <c r="AF975" s="132"/>
      <c r="AH975" s="136"/>
      <c r="AJ975" s="137"/>
      <c r="AK975" s="137"/>
      <c r="AL975" s="137"/>
    </row>
    <row r="976">
      <c r="A976" s="131"/>
      <c r="B976" s="132"/>
      <c r="C976" s="132"/>
      <c r="Q976" s="133"/>
      <c r="Y976" s="134"/>
      <c r="AB976" s="135"/>
      <c r="AE976" s="134"/>
      <c r="AF976" s="132"/>
      <c r="AH976" s="136"/>
      <c r="AJ976" s="137"/>
      <c r="AK976" s="137"/>
      <c r="AL976" s="137"/>
    </row>
    <row r="977">
      <c r="A977" s="131"/>
      <c r="B977" s="132"/>
      <c r="C977" s="132"/>
      <c r="Q977" s="133"/>
      <c r="Y977" s="134"/>
      <c r="AB977" s="135"/>
      <c r="AE977" s="134"/>
      <c r="AF977" s="132"/>
      <c r="AH977" s="136"/>
      <c r="AJ977" s="137"/>
      <c r="AK977" s="137"/>
      <c r="AL977" s="137"/>
    </row>
    <row r="978">
      <c r="A978" s="131"/>
      <c r="B978" s="132"/>
      <c r="C978" s="132"/>
      <c r="Q978" s="133"/>
      <c r="Y978" s="134"/>
      <c r="AB978" s="135"/>
      <c r="AE978" s="134"/>
      <c r="AF978" s="132"/>
      <c r="AH978" s="136"/>
      <c r="AJ978" s="137"/>
      <c r="AK978" s="137"/>
      <c r="AL978" s="137"/>
    </row>
    <row r="979">
      <c r="A979" s="131"/>
      <c r="B979" s="132"/>
      <c r="C979" s="132"/>
      <c r="Q979" s="133"/>
      <c r="Y979" s="134"/>
      <c r="AB979" s="135"/>
      <c r="AE979" s="134"/>
      <c r="AF979" s="132"/>
      <c r="AH979" s="136"/>
      <c r="AJ979" s="137"/>
      <c r="AK979" s="137"/>
      <c r="AL979" s="137"/>
    </row>
    <row r="980">
      <c r="A980" s="131"/>
      <c r="B980" s="132"/>
      <c r="C980" s="132"/>
      <c r="Q980" s="133"/>
      <c r="Y980" s="134"/>
      <c r="AB980" s="135"/>
      <c r="AE980" s="134"/>
      <c r="AF980" s="132"/>
      <c r="AH980" s="136"/>
      <c r="AJ980" s="137"/>
      <c r="AK980" s="137"/>
      <c r="AL980" s="137"/>
    </row>
    <row r="981">
      <c r="A981" s="131"/>
      <c r="B981" s="132"/>
      <c r="C981" s="132"/>
      <c r="Q981" s="133"/>
      <c r="Y981" s="134"/>
      <c r="AB981" s="135"/>
      <c r="AE981" s="134"/>
      <c r="AF981" s="132"/>
      <c r="AH981" s="136"/>
      <c r="AJ981" s="137"/>
      <c r="AK981" s="137"/>
      <c r="AL981" s="137"/>
    </row>
    <row r="982">
      <c r="A982" s="131"/>
      <c r="B982" s="132"/>
      <c r="C982" s="132"/>
      <c r="Q982" s="133"/>
      <c r="Y982" s="134"/>
      <c r="AB982" s="135"/>
      <c r="AE982" s="134"/>
      <c r="AF982" s="132"/>
      <c r="AH982" s="136"/>
      <c r="AJ982" s="137"/>
      <c r="AK982" s="137"/>
      <c r="AL982" s="137"/>
    </row>
    <row r="983">
      <c r="A983" s="131"/>
      <c r="B983" s="132"/>
      <c r="C983" s="132"/>
      <c r="Q983" s="133"/>
      <c r="Y983" s="134"/>
      <c r="AB983" s="135"/>
      <c r="AE983" s="134"/>
      <c r="AF983" s="132"/>
      <c r="AH983" s="136"/>
      <c r="AJ983" s="137"/>
      <c r="AK983" s="137"/>
      <c r="AL983" s="137"/>
    </row>
    <row r="984">
      <c r="A984" s="131"/>
      <c r="B984" s="132"/>
      <c r="C984" s="132"/>
      <c r="Q984" s="133"/>
      <c r="Y984" s="134"/>
      <c r="AB984" s="135"/>
      <c r="AE984" s="134"/>
      <c r="AF984" s="132"/>
      <c r="AH984" s="136"/>
      <c r="AJ984" s="137"/>
      <c r="AK984" s="137"/>
      <c r="AL984" s="137"/>
    </row>
    <row r="985">
      <c r="A985" s="131"/>
      <c r="B985" s="132"/>
      <c r="C985" s="132"/>
      <c r="Q985" s="133"/>
      <c r="Y985" s="134"/>
      <c r="AB985" s="135"/>
      <c r="AE985" s="134"/>
      <c r="AF985" s="132"/>
      <c r="AH985" s="136"/>
      <c r="AJ985" s="137"/>
      <c r="AK985" s="137"/>
      <c r="AL985" s="137"/>
    </row>
    <row r="986">
      <c r="A986" s="131"/>
      <c r="B986" s="132"/>
      <c r="C986" s="132"/>
      <c r="Q986" s="133"/>
      <c r="Y986" s="134"/>
      <c r="AB986" s="135"/>
      <c r="AE986" s="134"/>
      <c r="AF986" s="132"/>
      <c r="AH986" s="136"/>
      <c r="AJ986" s="137"/>
      <c r="AK986" s="137"/>
      <c r="AL986" s="137"/>
    </row>
    <row r="987">
      <c r="A987" s="131"/>
      <c r="B987" s="132"/>
      <c r="C987" s="132"/>
      <c r="Q987" s="133"/>
      <c r="Y987" s="134"/>
      <c r="AB987" s="135"/>
      <c r="AE987" s="134"/>
      <c r="AF987" s="132"/>
      <c r="AH987" s="136"/>
      <c r="AJ987" s="137"/>
      <c r="AK987" s="137"/>
      <c r="AL987" s="137"/>
    </row>
    <row r="988">
      <c r="A988" s="131"/>
      <c r="B988" s="132"/>
      <c r="C988" s="132"/>
      <c r="Q988" s="133"/>
      <c r="Y988" s="134"/>
      <c r="AB988" s="135"/>
      <c r="AE988" s="134"/>
      <c r="AF988" s="132"/>
      <c r="AH988" s="136"/>
      <c r="AJ988" s="137"/>
      <c r="AK988" s="137"/>
      <c r="AL988" s="137"/>
    </row>
    <row r="989">
      <c r="A989" s="131"/>
      <c r="B989" s="132"/>
      <c r="C989" s="132"/>
      <c r="Q989" s="133"/>
      <c r="Y989" s="134"/>
      <c r="AB989" s="135"/>
      <c r="AE989" s="134"/>
      <c r="AF989" s="132"/>
      <c r="AH989" s="136"/>
      <c r="AJ989" s="137"/>
      <c r="AK989" s="137"/>
      <c r="AL989" s="137"/>
    </row>
    <row r="990">
      <c r="A990" s="131"/>
      <c r="B990" s="132"/>
      <c r="C990" s="132"/>
      <c r="Q990" s="133"/>
      <c r="Y990" s="134"/>
      <c r="AB990" s="135"/>
      <c r="AE990" s="134"/>
      <c r="AF990" s="132"/>
      <c r="AH990" s="136"/>
      <c r="AJ990" s="137"/>
      <c r="AK990" s="137"/>
      <c r="AL990" s="137"/>
    </row>
    <row r="991">
      <c r="A991" s="131"/>
      <c r="B991" s="132"/>
      <c r="C991" s="132"/>
      <c r="Q991" s="133"/>
      <c r="Y991" s="134"/>
      <c r="AB991" s="135"/>
      <c r="AE991" s="134"/>
      <c r="AF991" s="132"/>
      <c r="AH991" s="136"/>
      <c r="AJ991" s="137"/>
      <c r="AK991" s="137"/>
      <c r="AL991" s="137"/>
    </row>
    <row r="992">
      <c r="A992" s="131"/>
      <c r="B992" s="132"/>
      <c r="C992" s="132"/>
      <c r="Q992" s="133"/>
      <c r="Y992" s="134"/>
      <c r="AB992" s="135"/>
      <c r="AE992" s="134"/>
      <c r="AF992" s="132"/>
      <c r="AH992" s="136"/>
      <c r="AJ992" s="137"/>
      <c r="AK992" s="137"/>
      <c r="AL992" s="137"/>
    </row>
    <row r="993">
      <c r="A993" s="131"/>
      <c r="B993" s="132"/>
      <c r="C993" s="132"/>
      <c r="Q993" s="133"/>
      <c r="Y993" s="134"/>
      <c r="AB993" s="135"/>
      <c r="AE993" s="134"/>
      <c r="AF993" s="132"/>
      <c r="AH993" s="136"/>
      <c r="AJ993" s="137"/>
      <c r="AK993" s="137"/>
      <c r="AL993" s="137"/>
    </row>
    <row r="994">
      <c r="A994" s="131"/>
      <c r="B994" s="132"/>
      <c r="C994" s="132"/>
      <c r="Q994" s="133"/>
      <c r="Y994" s="134"/>
      <c r="AB994" s="135"/>
      <c r="AE994" s="134"/>
      <c r="AF994" s="132"/>
      <c r="AH994" s="136"/>
      <c r="AJ994" s="137"/>
      <c r="AK994" s="137"/>
      <c r="AL994" s="137"/>
    </row>
    <row r="995">
      <c r="A995" s="131"/>
      <c r="B995" s="132"/>
      <c r="C995" s="132"/>
      <c r="Q995" s="133"/>
      <c r="Y995" s="134"/>
      <c r="AB995" s="135"/>
      <c r="AE995" s="134"/>
      <c r="AF995" s="132"/>
      <c r="AH995" s="136"/>
      <c r="AJ995" s="137"/>
      <c r="AK995" s="137"/>
      <c r="AL995" s="137"/>
    </row>
    <row r="996">
      <c r="A996" s="131"/>
      <c r="B996" s="132"/>
      <c r="C996" s="132"/>
      <c r="Q996" s="133"/>
      <c r="Y996" s="134"/>
      <c r="AB996" s="135"/>
      <c r="AE996" s="134"/>
      <c r="AF996" s="132"/>
      <c r="AH996" s="136"/>
      <c r="AJ996" s="137"/>
      <c r="AK996" s="137"/>
      <c r="AL996" s="137"/>
    </row>
    <row r="997">
      <c r="A997" s="131"/>
      <c r="B997" s="132"/>
      <c r="C997" s="132"/>
      <c r="Q997" s="133"/>
      <c r="Y997" s="134"/>
      <c r="AB997" s="135"/>
      <c r="AE997" s="134"/>
      <c r="AF997" s="132"/>
      <c r="AH997" s="136"/>
      <c r="AJ997" s="137"/>
      <c r="AK997" s="137"/>
      <c r="AL997" s="137"/>
    </row>
    <row r="998">
      <c r="A998" s="131"/>
      <c r="B998" s="132"/>
      <c r="C998" s="132"/>
      <c r="Q998" s="133"/>
      <c r="Y998" s="134"/>
      <c r="AB998" s="135"/>
      <c r="AE998" s="134"/>
      <c r="AF998" s="132"/>
      <c r="AH998" s="136"/>
      <c r="AJ998" s="137"/>
      <c r="AK998" s="137"/>
      <c r="AL998" s="137"/>
    </row>
    <row r="999">
      <c r="A999" s="131"/>
      <c r="B999" s="132"/>
      <c r="C999" s="132"/>
      <c r="Q999" s="133"/>
      <c r="Y999" s="134"/>
      <c r="AB999" s="135"/>
      <c r="AE999" s="134"/>
      <c r="AF999" s="132"/>
      <c r="AH999" s="136"/>
      <c r="AJ999" s="137"/>
      <c r="AK999" s="137"/>
      <c r="AL999" s="137"/>
    </row>
    <row r="1000">
      <c r="A1000" s="131"/>
      <c r="B1000" s="132"/>
      <c r="C1000" s="132"/>
      <c r="Q1000" s="133"/>
      <c r="Y1000" s="134"/>
      <c r="AB1000" s="135"/>
      <c r="AE1000" s="134"/>
      <c r="AF1000" s="132"/>
      <c r="AH1000" s="136"/>
      <c r="AJ1000" s="137"/>
      <c r="AK1000" s="137"/>
      <c r="AL1000" s="137"/>
    </row>
    <row r="1001">
      <c r="A1001" s="131"/>
      <c r="B1001" s="132"/>
      <c r="C1001" s="132"/>
      <c r="Q1001" s="133"/>
      <c r="Y1001" s="134"/>
      <c r="AB1001" s="135"/>
      <c r="AE1001" s="134"/>
      <c r="AF1001" s="132"/>
      <c r="AH1001" s="136"/>
      <c r="AJ1001" s="137"/>
      <c r="AK1001" s="137"/>
      <c r="AL1001" s="137"/>
    </row>
    <row r="1002">
      <c r="A1002" s="131"/>
      <c r="B1002" s="132"/>
      <c r="C1002" s="132"/>
      <c r="Q1002" s="133"/>
      <c r="Y1002" s="134"/>
      <c r="AB1002" s="135"/>
      <c r="AE1002" s="134"/>
      <c r="AF1002" s="132"/>
      <c r="AH1002" s="136"/>
      <c r="AJ1002" s="137"/>
      <c r="AK1002" s="137"/>
      <c r="AL1002" s="137"/>
    </row>
    <row r="1003">
      <c r="A1003" s="131"/>
      <c r="B1003" s="132"/>
      <c r="C1003" s="132"/>
      <c r="Q1003" s="133"/>
      <c r="Y1003" s="134"/>
      <c r="AB1003" s="135"/>
      <c r="AE1003" s="134"/>
      <c r="AF1003" s="132"/>
      <c r="AH1003" s="136"/>
      <c r="AJ1003" s="137"/>
      <c r="AK1003" s="137"/>
      <c r="AL1003" s="137"/>
    </row>
    <row r="1004">
      <c r="A1004" s="131"/>
      <c r="B1004" s="132"/>
      <c r="C1004" s="132"/>
      <c r="Q1004" s="133"/>
      <c r="Y1004" s="134"/>
      <c r="AB1004" s="135"/>
      <c r="AE1004" s="134"/>
      <c r="AF1004" s="132"/>
      <c r="AH1004" s="136"/>
      <c r="AJ1004" s="137"/>
      <c r="AK1004" s="137"/>
      <c r="AL1004" s="137"/>
    </row>
    <row r="1005">
      <c r="A1005" s="131"/>
      <c r="B1005" s="132"/>
      <c r="C1005" s="132"/>
      <c r="Q1005" s="133"/>
      <c r="Y1005" s="134"/>
      <c r="AB1005" s="135"/>
      <c r="AE1005" s="134"/>
      <c r="AF1005" s="132"/>
      <c r="AH1005" s="136"/>
      <c r="AJ1005" s="137"/>
      <c r="AK1005" s="137"/>
      <c r="AL1005" s="137"/>
    </row>
    <row r="1006">
      <c r="A1006" s="131"/>
      <c r="B1006" s="132"/>
      <c r="C1006" s="132"/>
      <c r="Q1006" s="133"/>
      <c r="Y1006" s="134"/>
      <c r="AB1006" s="135"/>
      <c r="AE1006" s="134"/>
      <c r="AF1006" s="132"/>
      <c r="AH1006" s="136"/>
      <c r="AJ1006" s="137"/>
      <c r="AK1006" s="137"/>
      <c r="AL1006" s="137"/>
    </row>
    <row r="1007">
      <c r="A1007" s="131"/>
      <c r="B1007" s="132"/>
      <c r="C1007" s="132"/>
      <c r="Q1007" s="133"/>
      <c r="Y1007" s="134"/>
      <c r="AB1007" s="135"/>
      <c r="AE1007" s="134"/>
      <c r="AF1007" s="132"/>
      <c r="AH1007" s="136"/>
      <c r="AJ1007" s="137"/>
      <c r="AK1007" s="137"/>
      <c r="AL1007" s="137"/>
    </row>
    <row r="1008">
      <c r="A1008" s="131"/>
      <c r="B1008" s="132"/>
      <c r="C1008" s="132"/>
      <c r="Q1008" s="133"/>
      <c r="Y1008" s="134"/>
      <c r="AB1008" s="135"/>
      <c r="AE1008" s="134"/>
      <c r="AF1008" s="132"/>
      <c r="AH1008" s="136"/>
      <c r="AJ1008" s="137"/>
      <c r="AK1008" s="137"/>
      <c r="AL1008" s="137"/>
    </row>
    <row r="1009">
      <c r="A1009" s="131"/>
      <c r="B1009" s="132"/>
      <c r="C1009" s="132"/>
      <c r="Q1009" s="133"/>
      <c r="Y1009" s="134"/>
      <c r="AB1009" s="135"/>
      <c r="AE1009" s="134"/>
      <c r="AF1009" s="132"/>
      <c r="AH1009" s="136"/>
      <c r="AJ1009" s="137"/>
      <c r="AK1009" s="137"/>
      <c r="AL1009" s="137"/>
    </row>
    <row r="1010">
      <c r="A1010" s="131"/>
      <c r="B1010" s="132"/>
      <c r="C1010" s="132"/>
      <c r="Q1010" s="133"/>
      <c r="Y1010" s="134"/>
      <c r="AB1010" s="135"/>
      <c r="AE1010" s="134"/>
      <c r="AF1010" s="132"/>
      <c r="AH1010" s="136"/>
      <c r="AJ1010" s="137"/>
      <c r="AK1010" s="137"/>
      <c r="AL1010" s="137"/>
    </row>
    <row r="1011">
      <c r="A1011" s="131"/>
      <c r="B1011" s="132"/>
      <c r="C1011" s="132"/>
      <c r="Q1011" s="133"/>
      <c r="Y1011" s="134"/>
      <c r="AB1011" s="135"/>
      <c r="AE1011" s="134"/>
      <c r="AF1011" s="132"/>
      <c r="AH1011" s="136"/>
      <c r="AJ1011" s="137"/>
      <c r="AK1011" s="137"/>
      <c r="AL1011" s="137"/>
    </row>
    <row r="1012">
      <c r="A1012" s="131"/>
      <c r="B1012" s="132"/>
      <c r="C1012" s="132"/>
      <c r="Q1012" s="133"/>
      <c r="Y1012" s="134"/>
      <c r="AB1012" s="135"/>
      <c r="AE1012" s="134"/>
      <c r="AF1012" s="132"/>
      <c r="AH1012" s="136"/>
      <c r="AJ1012" s="137"/>
      <c r="AK1012" s="137"/>
      <c r="AL1012" s="137"/>
    </row>
    <row r="1013">
      <c r="A1013" s="131"/>
      <c r="B1013" s="132"/>
      <c r="C1013" s="132"/>
      <c r="Q1013" s="133"/>
      <c r="Y1013" s="134"/>
      <c r="AB1013" s="135"/>
      <c r="AE1013" s="134"/>
      <c r="AF1013" s="132"/>
      <c r="AH1013" s="136"/>
      <c r="AJ1013" s="137"/>
      <c r="AK1013" s="137"/>
      <c r="AL1013" s="137"/>
    </row>
    <row r="1014">
      <c r="A1014" s="131"/>
      <c r="B1014" s="132"/>
      <c r="C1014" s="132"/>
      <c r="Q1014" s="133"/>
      <c r="Y1014" s="134"/>
      <c r="AB1014" s="135"/>
      <c r="AE1014" s="134"/>
      <c r="AF1014" s="132"/>
      <c r="AH1014" s="136"/>
      <c r="AJ1014" s="137"/>
      <c r="AK1014" s="137"/>
      <c r="AL1014" s="137"/>
    </row>
    <row r="1015">
      <c r="A1015" s="131"/>
      <c r="B1015" s="132"/>
      <c r="C1015" s="132"/>
      <c r="Q1015" s="133"/>
      <c r="Y1015" s="134"/>
      <c r="AB1015" s="135"/>
      <c r="AE1015" s="134"/>
      <c r="AF1015" s="132"/>
      <c r="AH1015" s="136"/>
      <c r="AJ1015" s="137"/>
      <c r="AK1015" s="137"/>
      <c r="AL1015" s="137"/>
    </row>
    <row r="1016">
      <c r="A1016" s="131"/>
      <c r="B1016" s="132"/>
      <c r="C1016" s="132"/>
      <c r="Q1016" s="133"/>
      <c r="Y1016" s="134"/>
      <c r="AB1016" s="135"/>
      <c r="AE1016" s="134"/>
      <c r="AF1016" s="132"/>
      <c r="AH1016" s="136"/>
      <c r="AJ1016" s="137"/>
      <c r="AK1016" s="137"/>
      <c r="AL1016" s="137"/>
    </row>
    <row r="1017">
      <c r="A1017" s="131"/>
      <c r="B1017" s="132"/>
      <c r="C1017" s="132"/>
      <c r="Q1017" s="133"/>
      <c r="Y1017" s="134"/>
      <c r="AB1017" s="135"/>
      <c r="AE1017" s="134"/>
      <c r="AF1017" s="132"/>
      <c r="AH1017" s="136"/>
      <c r="AJ1017" s="137"/>
      <c r="AK1017" s="137"/>
      <c r="AL1017" s="137"/>
    </row>
    <row r="1018">
      <c r="A1018" s="131"/>
      <c r="B1018" s="132"/>
      <c r="C1018" s="132"/>
      <c r="Q1018" s="133"/>
      <c r="Y1018" s="134"/>
      <c r="AB1018" s="135"/>
      <c r="AE1018" s="134"/>
      <c r="AF1018" s="132"/>
      <c r="AH1018" s="136"/>
      <c r="AJ1018" s="137"/>
      <c r="AK1018" s="137"/>
      <c r="AL1018" s="137"/>
    </row>
    <row r="1019">
      <c r="A1019" s="131"/>
      <c r="B1019" s="132"/>
      <c r="C1019" s="132"/>
      <c r="Q1019" s="133"/>
      <c r="Y1019" s="134"/>
      <c r="AB1019" s="135"/>
      <c r="AE1019" s="134"/>
      <c r="AF1019" s="132"/>
      <c r="AH1019" s="136"/>
      <c r="AJ1019" s="137"/>
      <c r="AK1019" s="137"/>
      <c r="AL1019" s="137"/>
    </row>
    <row r="1020">
      <c r="A1020" s="131"/>
      <c r="B1020" s="132"/>
      <c r="C1020" s="132"/>
      <c r="Q1020" s="133"/>
      <c r="Y1020" s="134"/>
      <c r="AB1020" s="135"/>
      <c r="AE1020" s="134"/>
      <c r="AF1020" s="132"/>
      <c r="AH1020" s="136"/>
      <c r="AJ1020" s="137"/>
      <c r="AK1020" s="137"/>
      <c r="AL1020" s="137"/>
    </row>
    <row r="1021">
      <c r="A1021" s="131"/>
      <c r="B1021" s="132"/>
      <c r="C1021" s="132"/>
      <c r="Q1021" s="133"/>
      <c r="Y1021" s="134"/>
      <c r="AB1021" s="135"/>
      <c r="AE1021" s="134"/>
      <c r="AF1021" s="132"/>
      <c r="AH1021" s="136"/>
      <c r="AJ1021" s="137"/>
      <c r="AK1021" s="137"/>
      <c r="AL1021" s="137"/>
    </row>
    <row r="1022">
      <c r="A1022" s="131"/>
      <c r="B1022" s="132"/>
      <c r="C1022" s="132"/>
      <c r="Q1022" s="133"/>
      <c r="Y1022" s="134"/>
      <c r="AB1022" s="135"/>
      <c r="AE1022" s="134"/>
      <c r="AF1022" s="132"/>
      <c r="AH1022" s="136"/>
      <c r="AJ1022" s="137"/>
      <c r="AK1022" s="137"/>
      <c r="AL1022" s="137"/>
    </row>
    <row r="1023">
      <c r="A1023" s="131"/>
      <c r="B1023" s="132"/>
      <c r="C1023" s="132"/>
      <c r="Q1023" s="133"/>
      <c r="Y1023" s="134"/>
      <c r="AB1023" s="135"/>
      <c r="AE1023" s="134"/>
      <c r="AF1023" s="132"/>
      <c r="AH1023" s="136"/>
      <c r="AJ1023" s="137"/>
      <c r="AK1023" s="137"/>
      <c r="AL1023" s="137"/>
    </row>
    <row r="1024">
      <c r="A1024" s="131"/>
      <c r="B1024" s="132"/>
      <c r="C1024" s="132"/>
      <c r="Q1024" s="133"/>
      <c r="Y1024" s="134"/>
      <c r="AB1024" s="135"/>
      <c r="AE1024" s="134"/>
      <c r="AF1024" s="132"/>
      <c r="AH1024" s="136"/>
      <c r="AJ1024" s="137"/>
      <c r="AK1024" s="137"/>
      <c r="AL1024" s="137"/>
    </row>
    <row r="1025">
      <c r="A1025" s="131"/>
      <c r="B1025" s="132"/>
      <c r="C1025" s="132"/>
      <c r="Q1025" s="133"/>
      <c r="Y1025" s="134"/>
      <c r="AB1025" s="135"/>
      <c r="AE1025" s="134"/>
      <c r="AF1025" s="132"/>
      <c r="AH1025" s="136"/>
      <c r="AJ1025" s="137"/>
      <c r="AK1025" s="137"/>
      <c r="AL1025" s="137"/>
    </row>
    <row r="1026">
      <c r="A1026" s="131"/>
      <c r="B1026" s="132"/>
      <c r="C1026" s="132"/>
      <c r="Q1026" s="133"/>
      <c r="Y1026" s="134"/>
      <c r="AB1026" s="135"/>
      <c r="AE1026" s="134"/>
      <c r="AF1026" s="132"/>
      <c r="AH1026" s="136"/>
      <c r="AJ1026" s="137"/>
      <c r="AK1026" s="137"/>
      <c r="AL1026" s="137"/>
    </row>
    <row r="1027">
      <c r="A1027" s="131"/>
      <c r="B1027" s="132"/>
      <c r="C1027" s="132"/>
      <c r="Q1027" s="133"/>
      <c r="Y1027" s="134"/>
      <c r="AB1027" s="135"/>
      <c r="AE1027" s="134"/>
      <c r="AF1027" s="132"/>
      <c r="AH1027" s="136"/>
      <c r="AJ1027" s="137"/>
      <c r="AK1027" s="137"/>
      <c r="AL1027" s="137"/>
    </row>
    <row r="1028">
      <c r="A1028" s="131"/>
      <c r="B1028" s="132"/>
      <c r="C1028" s="132"/>
      <c r="Q1028" s="133"/>
      <c r="Y1028" s="134"/>
      <c r="AB1028" s="135"/>
      <c r="AE1028" s="134"/>
      <c r="AF1028" s="132"/>
      <c r="AH1028" s="136"/>
      <c r="AJ1028" s="137"/>
      <c r="AK1028" s="137"/>
      <c r="AL1028" s="137"/>
    </row>
    <row r="1029">
      <c r="A1029" s="131"/>
      <c r="B1029" s="132"/>
      <c r="C1029" s="132"/>
      <c r="Q1029" s="133"/>
      <c r="Y1029" s="134"/>
      <c r="AB1029" s="135"/>
      <c r="AE1029" s="134"/>
      <c r="AF1029" s="132"/>
      <c r="AH1029" s="136"/>
      <c r="AJ1029" s="137"/>
      <c r="AK1029" s="137"/>
      <c r="AL1029" s="137"/>
    </row>
    <row r="1030">
      <c r="A1030" s="131"/>
      <c r="B1030" s="132"/>
      <c r="C1030" s="132"/>
      <c r="Q1030" s="133"/>
      <c r="Y1030" s="134"/>
      <c r="AB1030" s="135"/>
      <c r="AE1030" s="134"/>
      <c r="AF1030" s="132"/>
      <c r="AH1030" s="136"/>
      <c r="AJ1030" s="137"/>
      <c r="AK1030" s="137"/>
      <c r="AL1030" s="137"/>
    </row>
    <row r="1031">
      <c r="A1031" s="131"/>
      <c r="B1031" s="132"/>
      <c r="C1031" s="132"/>
      <c r="Q1031" s="133"/>
      <c r="Y1031" s="134"/>
      <c r="AB1031" s="135"/>
      <c r="AE1031" s="134"/>
      <c r="AF1031" s="132"/>
      <c r="AH1031" s="136"/>
      <c r="AJ1031" s="137"/>
      <c r="AK1031" s="137"/>
      <c r="AL1031" s="137"/>
    </row>
    <row r="1032">
      <c r="A1032" s="131"/>
      <c r="B1032" s="132"/>
      <c r="C1032" s="132"/>
      <c r="Q1032" s="133"/>
      <c r="Y1032" s="134"/>
      <c r="AB1032" s="135"/>
      <c r="AE1032" s="134"/>
      <c r="AF1032" s="132"/>
      <c r="AH1032" s="136"/>
      <c r="AJ1032" s="137"/>
      <c r="AK1032" s="137"/>
      <c r="AL1032" s="137"/>
    </row>
    <row r="1033">
      <c r="A1033" s="131"/>
      <c r="B1033" s="132"/>
      <c r="C1033" s="132"/>
      <c r="Q1033" s="133"/>
      <c r="Y1033" s="134"/>
      <c r="AB1033" s="135"/>
      <c r="AE1033" s="134"/>
      <c r="AF1033" s="132"/>
      <c r="AH1033" s="136"/>
      <c r="AJ1033" s="137"/>
      <c r="AK1033" s="137"/>
      <c r="AL1033" s="137"/>
    </row>
    <row r="1034">
      <c r="A1034" s="131"/>
      <c r="B1034" s="132"/>
      <c r="C1034" s="132"/>
      <c r="Q1034" s="133"/>
      <c r="Y1034" s="134"/>
      <c r="AB1034" s="135"/>
      <c r="AE1034" s="134"/>
      <c r="AF1034" s="132"/>
      <c r="AH1034" s="136"/>
      <c r="AJ1034" s="137"/>
      <c r="AK1034" s="137"/>
      <c r="AL1034" s="137"/>
    </row>
    <row r="1035">
      <c r="A1035" s="131"/>
      <c r="B1035" s="132"/>
      <c r="C1035" s="132"/>
      <c r="Q1035" s="133"/>
      <c r="Y1035" s="134"/>
      <c r="AB1035" s="135"/>
      <c r="AE1035" s="134"/>
      <c r="AF1035" s="132"/>
      <c r="AH1035" s="136"/>
      <c r="AJ1035" s="137"/>
      <c r="AK1035" s="137"/>
      <c r="AL1035" s="137"/>
    </row>
    <row r="1036">
      <c r="A1036" s="131"/>
      <c r="B1036" s="132"/>
      <c r="C1036" s="132"/>
      <c r="Q1036" s="133"/>
      <c r="Y1036" s="134"/>
      <c r="AB1036" s="135"/>
      <c r="AE1036" s="134"/>
      <c r="AF1036" s="132"/>
      <c r="AH1036" s="136"/>
      <c r="AJ1036" s="137"/>
      <c r="AK1036" s="137"/>
      <c r="AL1036" s="137"/>
    </row>
    <row r="1037">
      <c r="A1037" s="131"/>
      <c r="B1037" s="132"/>
      <c r="C1037" s="132"/>
      <c r="Q1037" s="133"/>
      <c r="Y1037" s="134"/>
      <c r="AB1037" s="135"/>
      <c r="AE1037" s="134"/>
      <c r="AF1037" s="132"/>
      <c r="AH1037" s="136"/>
      <c r="AJ1037" s="137"/>
      <c r="AK1037" s="137"/>
      <c r="AL1037" s="137"/>
    </row>
    <row r="1038">
      <c r="A1038" s="131"/>
      <c r="B1038" s="132"/>
      <c r="C1038" s="132"/>
      <c r="Q1038" s="133"/>
      <c r="Y1038" s="134"/>
      <c r="AB1038" s="135"/>
      <c r="AE1038" s="134"/>
      <c r="AF1038" s="132"/>
      <c r="AH1038" s="136"/>
      <c r="AJ1038" s="137"/>
      <c r="AK1038" s="137"/>
      <c r="AL1038" s="137"/>
    </row>
    <row r="1039">
      <c r="A1039" s="131"/>
      <c r="B1039" s="132"/>
      <c r="C1039" s="132"/>
      <c r="Q1039" s="133"/>
      <c r="Y1039" s="134"/>
      <c r="AB1039" s="135"/>
      <c r="AE1039" s="134"/>
      <c r="AF1039" s="132"/>
      <c r="AH1039" s="136"/>
      <c r="AJ1039" s="137"/>
      <c r="AK1039" s="137"/>
      <c r="AL1039" s="137"/>
    </row>
    <row r="1040">
      <c r="A1040" s="131"/>
      <c r="B1040" s="132"/>
      <c r="C1040" s="132"/>
      <c r="Q1040" s="133"/>
      <c r="Y1040" s="134"/>
      <c r="AB1040" s="135"/>
      <c r="AE1040" s="134"/>
      <c r="AF1040" s="132"/>
      <c r="AH1040" s="136"/>
      <c r="AJ1040" s="137"/>
      <c r="AK1040" s="137"/>
      <c r="AL1040" s="137"/>
    </row>
    <row r="1041">
      <c r="A1041" s="131"/>
      <c r="B1041" s="132"/>
      <c r="C1041" s="132"/>
      <c r="Q1041" s="133"/>
      <c r="Y1041" s="134"/>
      <c r="AB1041" s="135"/>
      <c r="AE1041" s="134"/>
      <c r="AF1041" s="132"/>
      <c r="AH1041" s="136"/>
      <c r="AJ1041" s="137"/>
      <c r="AK1041" s="137"/>
      <c r="AL1041" s="137"/>
    </row>
    <row r="1042">
      <c r="A1042" s="131"/>
      <c r="B1042" s="132"/>
      <c r="C1042" s="132"/>
      <c r="Q1042" s="133"/>
      <c r="Y1042" s="134"/>
      <c r="AB1042" s="135"/>
      <c r="AE1042" s="134"/>
      <c r="AF1042" s="132"/>
      <c r="AH1042" s="136"/>
      <c r="AJ1042" s="137"/>
      <c r="AK1042" s="137"/>
      <c r="AL1042" s="137"/>
    </row>
    <row r="1043">
      <c r="A1043" s="131"/>
      <c r="B1043" s="132"/>
      <c r="C1043" s="132"/>
      <c r="Q1043" s="133"/>
      <c r="Y1043" s="134"/>
      <c r="AB1043" s="135"/>
      <c r="AE1043" s="134"/>
      <c r="AF1043" s="132"/>
      <c r="AH1043" s="136"/>
      <c r="AJ1043" s="137"/>
      <c r="AK1043" s="137"/>
      <c r="AL1043" s="137"/>
    </row>
    <row r="1044">
      <c r="A1044" s="131"/>
      <c r="B1044" s="132"/>
      <c r="C1044" s="132"/>
      <c r="Q1044" s="133"/>
      <c r="Y1044" s="134"/>
      <c r="AB1044" s="135"/>
      <c r="AE1044" s="134"/>
      <c r="AF1044" s="132"/>
      <c r="AH1044" s="136"/>
      <c r="AJ1044" s="137"/>
      <c r="AK1044" s="137"/>
      <c r="AL1044" s="137"/>
    </row>
    <row r="1045">
      <c r="A1045" s="131"/>
      <c r="B1045" s="132"/>
      <c r="C1045" s="132"/>
      <c r="Q1045" s="133"/>
      <c r="Y1045" s="134"/>
      <c r="AB1045" s="135"/>
      <c r="AE1045" s="134"/>
      <c r="AF1045" s="132"/>
      <c r="AH1045" s="136"/>
      <c r="AJ1045" s="137"/>
      <c r="AK1045" s="137"/>
      <c r="AL1045" s="137"/>
    </row>
    <row r="1046">
      <c r="A1046" s="131"/>
      <c r="B1046" s="132"/>
      <c r="C1046" s="132"/>
      <c r="Q1046" s="133"/>
      <c r="Y1046" s="134"/>
      <c r="AB1046" s="135"/>
      <c r="AE1046" s="134"/>
      <c r="AF1046" s="132"/>
      <c r="AH1046" s="136"/>
      <c r="AJ1046" s="137"/>
      <c r="AK1046" s="137"/>
      <c r="AL1046" s="137"/>
    </row>
    <row r="1047">
      <c r="A1047" s="131"/>
      <c r="B1047" s="132"/>
      <c r="C1047" s="132"/>
      <c r="Q1047" s="133"/>
      <c r="Y1047" s="134"/>
      <c r="AB1047" s="135"/>
      <c r="AE1047" s="134"/>
      <c r="AF1047" s="132"/>
      <c r="AH1047" s="136"/>
      <c r="AJ1047" s="137"/>
      <c r="AK1047" s="137"/>
      <c r="AL1047" s="137"/>
    </row>
    <row r="1048">
      <c r="A1048" s="131"/>
      <c r="B1048" s="132"/>
      <c r="C1048" s="132"/>
      <c r="Q1048" s="133"/>
      <c r="Y1048" s="134"/>
      <c r="AB1048" s="135"/>
      <c r="AE1048" s="134"/>
      <c r="AF1048" s="132"/>
      <c r="AH1048" s="136"/>
      <c r="AJ1048" s="137"/>
      <c r="AK1048" s="137"/>
      <c r="AL1048" s="137"/>
    </row>
    <row r="1049">
      <c r="A1049" s="131"/>
      <c r="B1049" s="132"/>
      <c r="C1049" s="132"/>
      <c r="Q1049" s="133"/>
      <c r="Y1049" s="134"/>
      <c r="AB1049" s="135"/>
      <c r="AE1049" s="134"/>
      <c r="AF1049" s="132"/>
      <c r="AH1049" s="136"/>
      <c r="AJ1049" s="137"/>
      <c r="AK1049" s="137"/>
      <c r="AL1049" s="137"/>
    </row>
    <row r="1050">
      <c r="A1050" s="131"/>
      <c r="B1050" s="132"/>
      <c r="C1050" s="132"/>
      <c r="Q1050" s="133"/>
      <c r="Y1050" s="134"/>
      <c r="AB1050" s="135"/>
      <c r="AE1050" s="134"/>
      <c r="AF1050" s="132"/>
      <c r="AH1050" s="136"/>
      <c r="AJ1050" s="137"/>
      <c r="AK1050" s="137"/>
      <c r="AL1050" s="137"/>
    </row>
    <row r="1051">
      <c r="A1051" s="131"/>
      <c r="B1051" s="132"/>
      <c r="C1051" s="132"/>
      <c r="Q1051" s="133"/>
      <c r="Y1051" s="134"/>
      <c r="AB1051" s="135"/>
      <c r="AE1051" s="134"/>
      <c r="AF1051" s="132"/>
      <c r="AH1051" s="136"/>
      <c r="AJ1051" s="137"/>
      <c r="AK1051" s="137"/>
      <c r="AL1051" s="137"/>
    </row>
    <row r="1052">
      <c r="A1052" s="131"/>
      <c r="B1052" s="132"/>
      <c r="C1052" s="132"/>
      <c r="Q1052" s="133"/>
      <c r="Y1052" s="134"/>
      <c r="AB1052" s="135"/>
      <c r="AE1052" s="134"/>
      <c r="AF1052" s="132"/>
      <c r="AH1052" s="136"/>
      <c r="AJ1052" s="137"/>
      <c r="AK1052" s="137"/>
      <c r="AL1052" s="137"/>
    </row>
    <row r="1053">
      <c r="A1053" s="131"/>
      <c r="B1053" s="132"/>
      <c r="C1053" s="132"/>
      <c r="Q1053" s="133"/>
      <c r="Y1053" s="134"/>
      <c r="AB1053" s="135"/>
      <c r="AE1053" s="134"/>
      <c r="AF1053" s="132"/>
      <c r="AH1053" s="136"/>
      <c r="AJ1053" s="137"/>
      <c r="AK1053" s="137"/>
      <c r="AL1053" s="137"/>
    </row>
    <row r="1054">
      <c r="A1054" s="131"/>
      <c r="B1054" s="132"/>
      <c r="C1054" s="132"/>
      <c r="Q1054" s="133"/>
      <c r="Y1054" s="134"/>
      <c r="AB1054" s="135"/>
      <c r="AE1054" s="134"/>
      <c r="AF1054" s="132"/>
      <c r="AH1054" s="136"/>
      <c r="AJ1054" s="137"/>
      <c r="AK1054" s="137"/>
      <c r="AL1054" s="137"/>
    </row>
    <row r="1055">
      <c r="A1055" s="131"/>
      <c r="B1055" s="132"/>
      <c r="C1055" s="132"/>
      <c r="Q1055" s="133"/>
      <c r="Y1055" s="134"/>
      <c r="AB1055" s="135"/>
      <c r="AE1055" s="134"/>
      <c r="AF1055" s="132"/>
      <c r="AH1055" s="136"/>
      <c r="AJ1055" s="137"/>
      <c r="AK1055" s="137"/>
      <c r="AL1055" s="137"/>
    </row>
    <row r="1056">
      <c r="A1056" s="131"/>
      <c r="B1056" s="132"/>
      <c r="C1056" s="132"/>
      <c r="Q1056" s="133"/>
      <c r="Y1056" s="134"/>
      <c r="AB1056" s="135"/>
      <c r="AE1056" s="134"/>
      <c r="AF1056" s="132"/>
      <c r="AH1056" s="136"/>
      <c r="AJ1056" s="137"/>
      <c r="AK1056" s="137"/>
      <c r="AL1056" s="137"/>
    </row>
    <row r="1057">
      <c r="A1057" s="131"/>
      <c r="B1057" s="132"/>
      <c r="C1057" s="132"/>
      <c r="Q1057" s="133"/>
      <c r="Y1057" s="134"/>
      <c r="AB1057" s="135"/>
      <c r="AE1057" s="134"/>
      <c r="AF1057" s="132"/>
      <c r="AH1057" s="136"/>
      <c r="AJ1057" s="137"/>
      <c r="AK1057" s="137"/>
      <c r="AL1057" s="137"/>
    </row>
    <row r="1058">
      <c r="A1058" s="131"/>
      <c r="B1058" s="132"/>
      <c r="C1058" s="132"/>
      <c r="Q1058" s="133"/>
      <c r="Y1058" s="134"/>
      <c r="AB1058" s="135"/>
      <c r="AE1058" s="134"/>
      <c r="AF1058" s="132"/>
      <c r="AH1058" s="136"/>
      <c r="AJ1058" s="137"/>
      <c r="AK1058" s="137"/>
      <c r="AL1058" s="137"/>
    </row>
    <row r="1059">
      <c r="A1059" s="131"/>
      <c r="B1059" s="132"/>
      <c r="C1059" s="132"/>
      <c r="Q1059" s="133"/>
      <c r="Y1059" s="134"/>
      <c r="AB1059" s="135"/>
      <c r="AE1059" s="134"/>
      <c r="AF1059" s="132"/>
      <c r="AH1059" s="136"/>
      <c r="AJ1059" s="137"/>
      <c r="AK1059" s="137"/>
      <c r="AL1059" s="137"/>
    </row>
    <row r="1060">
      <c r="A1060" s="131"/>
      <c r="B1060" s="132"/>
      <c r="C1060" s="132"/>
      <c r="Q1060" s="133"/>
      <c r="Y1060" s="134"/>
      <c r="AB1060" s="135"/>
      <c r="AE1060" s="134"/>
      <c r="AF1060" s="132"/>
      <c r="AH1060" s="136"/>
      <c r="AJ1060" s="137"/>
      <c r="AK1060" s="137"/>
      <c r="AL1060" s="137"/>
    </row>
    <row r="1061">
      <c r="A1061" s="131"/>
      <c r="B1061" s="132"/>
      <c r="C1061" s="132"/>
      <c r="Q1061" s="133"/>
      <c r="Y1061" s="134"/>
      <c r="AB1061" s="135"/>
      <c r="AE1061" s="134"/>
      <c r="AF1061" s="132"/>
      <c r="AH1061" s="136"/>
      <c r="AJ1061" s="137"/>
      <c r="AK1061" s="137"/>
      <c r="AL1061" s="137"/>
    </row>
    <row r="1062">
      <c r="A1062" s="131"/>
      <c r="B1062" s="132"/>
      <c r="C1062" s="132"/>
      <c r="Q1062" s="133"/>
      <c r="Y1062" s="134"/>
      <c r="AB1062" s="135"/>
      <c r="AE1062" s="134"/>
      <c r="AF1062" s="132"/>
      <c r="AH1062" s="136"/>
      <c r="AJ1062" s="137"/>
      <c r="AK1062" s="137"/>
      <c r="AL1062" s="137"/>
    </row>
    <row r="1063">
      <c r="A1063" s="131"/>
      <c r="B1063" s="132"/>
      <c r="C1063" s="132"/>
      <c r="Q1063" s="133"/>
      <c r="Y1063" s="134"/>
      <c r="AB1063" s="135"/>
      <c r="AE1063" s="134"/>
      <c r="AF1063" s="132"/>
      <c r="AH1063" s="136"/>
      <c r="AJ1063" s="137"/>
      <c r="AK1063" s="137"/>
      <c r="AL1063" s="137"/>
    </row>
    <row r="1064">
      <c r="A1064" s="131"/>
      <c r="B1064" s="132"/>
      <c r="C1064" s="132"/>
      <c r="Q1064" s="133"/>
      <c r="Y1064" s="134"/>
      <c r="AB1064" s="135"/>
      <c r="AE1064" s="134"/>
      <c r="AF1064" s="132"/>
      <c r="AH1064" s="136"/>
      <c r="AJ1064" s="137"/>
      <c r="AK1064" s="137"/>
      <c r="AL1064" s="137"/>
    </row>
    <row r="1065">
      <c r="A1065" s="131"/>
      <c r="B1065" s="132"/>
      <c r="C1065" s="132"/>
      <c r="Q1065" s="133"/>
      <c r="Y1065" s="134"/>
      <c r="AB1065" s="135"/>
      <c r="AE1065" s="134"/>
      <c r="AF1065" s="132"/>
      <c r="AH1065" s="136"/>
      <c r="AJ1065" s="137"/>
      <c r="AK1065" s="137"/>
      <c r="AL1065" s="137"/>
    </row>
    <row r="1066">
      <c r="A1066" s="131"/>
      <c r="B1066" s="132"/>
      <c r="C1066" s="132"/>
      <c r="Q1066" s="133"/>
      <c r="Y1066" s="134"/>
      <c r="AB1066" s="135"/>
      <c r="AE1066" s="134"/>
      <c r="AF1066" s="132"/>
      <c r="AH1066" s="136"/>
      <c r="AJ1066" s="137"/>
      <c r="AK1066" s="137"/>
      <c r="AL1066" s="137"/>
    </row>
    <row r="1067">
      <c r="A1067" s="131"/>
      <c r="B1067" s="132"/>
      <c r="C1067" s="132"/>
      <c r="Q1067" s="133"/>
      <c r="Y1067" s="134"/>
      <c r="AB1067" s="135"/>
      <c r="AE1067" s="134"/>
      <c r="AF1067" s="132"/>
      <c r="AH1067" s="136"/>
      <c r="AJ1067" s="137"/>
      <c r="AK1067" s="137"/>
      <c r="AL1067" s="137"/>
    </row>
    <row r="1068">
      <c r="A1068" s="131"/>
      <c r="B1068" s="132"/>
      <c r="C1068" s="132"/>
      <c r="Q1068" s="133"/>
      <c r="Y1068" s="134"/>
      <c r="AB1068" s="135"/>
      <c r="AE1068" s="134"/>
      <c r="AF1068" s="132"/>
      <c r="AH1068" s="136"/>
      <c r="AJ1068" s="137"/>
      <c r="AK1068" s="137"/>
      <c r="AL1068" s="137"/>
    </row>
    <row r="1069">
      <c r="A1069" s="131"/>
      <c r="B1069" s="132"/>
      <c r="C1069" s="132"/>
      <c r="Q1069" s="133"/>
      <c r="Y1069" s="134"/>
      <c r="AB1069" s="135"/>
      <c r="AE1069" s="134"/>
      <c r="AF1069" s="132"/>
      <c r="AH1069" s="136"/>
      <c r="AJ1069" s="137"/>
      <c r="AK1069" s="137"/>
      <c r="AL1069" s="137"/>
    </row>
    <row r="1070">
      <c r="A1070" s="131"/>
      <c r="B1070" s="132"/>
      <c r="C1070" s="132"/>
      <c r="Q1070" s="133"/>
      <c r="Y1070" s="134"/>
      <c r="AB1070" s="135"/>
      <c r="AE1070" s="134"/>
      <c r="AF1070" s="132"/>
      <c r="AH1070" s="136"/>
      <c r="AJ1070" s="137"/>
      <c r="AK1070" s="137"/>
      <c r="AL1070" s="137"/>
    </row>
    <row r="1071">
      <c r="A1071" s="131"/>
      <c r="B1071" s="132"/>
      <c r="C1071" s="132"/>
      <c r="Q1071" s="133"/>
      <c r="Y1071" s="134"/>
      <c r="AB1071" s="135"/>
      <c r="AE1071" s="134"/>
      <c r="AF1071" s="132"/>
      <c r="AH1071" s="136"/>
      <c r="AJ1071" s="137"/>
      <c r="AK1071" s="137"/>
      <c r="AL1071" s="137"/>
    </row>
    <row r="1072">
      <c r="A1072" s="131"/>
      <c r="B1072" s="132"/>
      <c r="C1072" s="132"/>
      <c r="Q1072" s="133"/>
      <c r="Y1072" s="134"/>
      <c r="AB1072" s="135"/>
      <c r="AE1072" s="134"/>
      <c r="AF1072" s="132"/>
      <c r="AH1072" s="136"/>
      <c r="AJ1072" s="137"/>
      <c r="AK1072" s="137"/>
      <c r="AL1072" s="137"/>
    </row>
    <row r="1073">
      <c r="A1073" s="131"/>
      <c r="B1073" s="132"/>
      <c r="C1073" s="132"/>
      <c r="Q1073" s="133"/>
      <c r="Y1073" s="134"/>
      <c r="AB1073" s="135"/>
      <c r="AE1073" s="134"/>
      <c r="AF1073" s="132"/>
      <c r="AH1073" s="136"/>
      <c r="AJ1073" s="137"/>
      <c r="AK1073" s="137"/>
      <c r="AL1073" s="137"/>
    </row>
    <row r="1074">
      <c r="A1074" s="131"/>
      <c r="B1074" s="132"/>
      <c r="C1074" s="132"/>
      <c r="Q1074" s="133"/>
      <c r="Y1074" s="134"/>
      <c r="AB1074" s="135"/>
      <c r="AE1074" s="134"/>
      <c r="AF1074" s="132"/>
      <c r="AH1074" s="136"/>
      <c r="AJ1074" s="137"/>
      <c r="AK1074" s="137"/>
      <c r="AL1074" s="137"/>
    </row>
    <row r="1075">
      <c r="A1075" s="131"/>
      <c r="B1075" s="132"/>
      <c r="C1075" s="132"/>
      <c r="Q1075" s="133"/>
      <c r="Y1075" s="134"/>
      <c r="AB1075" s="135"/>
      <c r="AE1075" s="134"/>
      <c r="AF1075" s="132"/>
      <c r="AH1075" s="136"/>
      <c r="AJ1075" s="137"/>
      <c r="AK1075" s="137"/>
      <c r="AL1075" s="137"/>
    </row>
    <row r="1076">
      <c r="A1076" s="131"/>
      <c r="B1076" s="132"/>
      <c r="C1076" s="132"/>
      <c r="Q1076" s="133"/>
      <c r="Y1076" s="134"/>
      <c r="AB1076" s="135"/>
      <c r="AE1076" s="134"/>
      <c r="AF1076" s="132"/>
      <c r="AH1076" s="136"/>
      <c r="AJ1076" s="137"/>
      <c r="AK1076" s="137"/>
      <c r="AL1076" s="137"/>
    </row>
    <row r="1077">
      <c r="A1077" s="131"/>
      <c r="B1077" s="132"/>
      <c r="C1077" s="132"/>
      <c r="Q1077" s="133"/>
      <c r="Y1077" s="134"/>
      <c r="AB1077" s="135"/>
      <c r="AE1077" s="134"/>
      <c r="AF1077" s="132"/>
      <c r="AH1077" s="136"/>
      <c r="AJ1077" s="137"/>
      <c r="AK1077" s="137"/>
      <c r="AL1077" s="137"/>
    </row>
    <row r="1078">
      <c r="A1078" s="131"/>
      <c r="B1078" s="132"/>
      <c r="C1078" s="132"/>
      <c r="Q1078" s="133"/>
      <c r="Y1078" s="134"/>
      <c r="AB1078" s="135"/>
      <c r="AE1078" s="134"/>
      <c r="AF1078" s="132"/>
      <c r="AH1078" s="136"/>
      <c r="AJ1078" s="137"/>
      <c r="AK1078" s="137"/>
      <c r="AL1078" s="137"/>
    </row>
    <row r="1079">
      <c r="A1079" s="131"/>
      <c r="B1079" s="132"/>
      <c r="C1079" s="132"/>
      <c r="Q1079" s="133"/>
      <c r="Y1079" s="134"/>
      <c r="AB1079" s="135"/>
      <c r="AE1079" s="134"/>
      <c r="AF1079" s="132"/>
      <c r="AH1079" s="136"/>
      <c r="AJ1079" s="137"/>
      <c r="AK1079" s="137"/>
      <c r="AL1079" s="137"/>
    </row>
    <row r="1080">
      <c r="A1080" s="131"/>
      <c r="B1080" s="132"/>
      <c r="C1080" s="132"/>
      <c r="Q1080" s="133"/>
      <c r="Y1080" s="134"/>
      <c r="AB1080" s="135"/>
      <c r="AE1080" s="134"/>
      <c r="AF1080" s="132"/>
      <c r="AH1080" s="136"/>
      <c r="AJ1080" s="137"/>
      <c r="AK1080" s="137"/>
      <c r="AL1080" s="137"/>
    </row>
    <row r="1081">
      <c r="A1081" s="131"/>
      <c r="B1081" s="132"/>
      <c r="C1081" s="132"/>
      <c r="Q1081" s="133"/>
      <c r="Y1081" s="134"/>
      <c r="AB1081" s="135"/>
      <c r="AE1081" s="134"/>
      <c r="AF1081" s="132"/>
      <c r="AH1081" s="136"/>
      <c r="AJ1081" s="137"/>
      <c r="AK1081" s="137"/>
      <c r="AL1081" s="137"/>
    </row>
    <row r="1082">
      <c r="A1082" s="131"/>
      <c r="B1082" s="132"/>
      <c r="C1082" s="132"/>
      <c r="Q1082" s="133"/>
      <c r="Y1082" s="134"/>
      <c r="AB1082" s="135"/>
      <c r="AE1082" s="134"/>
      <c r="AF1082" s="132"/>
      <c r="AH1082" s="136"/>
      <c r="AJ1082" s="137"/>
      <c r="AK1082" s="137"/>
      <c r="AL1082" s="137"/>
    </row>
    <row r="1083">
      <c r="A1083" s="131"/>
      <c r="B1083" s="132"/>
      <c r="C1083" s="132"/>
      <c r="Q1083" s="133"/>
      <c r="Y1083" s="134"/>
      <c r="AB1083" s="135"/>
      <c r="AE1083" s="134"/>
      <c r="AF1083" s="132"/>
      <c r="AH1083" s="136"/>
      <c r="AJ1083" s="137"/>
      <c r="AK1083" s="137"/>
      <c r="AL1083" s="137"/>
    </row>
    <row r="1084">
      <c r="A1084" s="131"/>
      <c r="B1084" s="132"/>
      <c r="C1084" s="132"/>
      <c r="Q1084" s="133"/>
      <c r="Y1084" s="134"/>
      <c r="AB1084" s="135"/>
      <c r="AE1084" s="134"/>
      <c r="AF1084" s="132"/>
      <c r="AH1084" s="136"/>
      <c r="AJ1084" s="137"/>
      <c r="AK1084" s="137"/>
      <c r="AL1084" s="137"/>
    </row>
    <row r="1085">
      <c r="A1085" s="131"/>
      <c r="B1085" s="132"/>
      <c r="C1085" s="132"/>
      <c r="Q1085" s="133"/>
      <c r="Y1085" s="134"/>
      <c r="AB1085" s="135"/>
      <c r="AE1085" s="134"/>
      <c r="AF1085" s="132"/>
      <c r="AH1085" s="136"/>
      <c r="AJ1085" s="137"/>
      <c r="AK1085" s="137"/>
      <c r="AL1085" s="137"/>
    </row>
    <row r="1086">
      <c r="A1086" s="131"/>
      <c r="B1086" s="132"/>
      <c r="C1086" s="132"/>
      <c r="Q1086" s="133"/>
      <c r="Y1086" s="134"/>
      <c r="AB1086" s="135"/>
      <c r="AE1086" s="134"/>
      <c r="AF1086" s="132"/>
      <c r="AH1086" s="136"/>
      <c r="AJ1086" s="137"/>
      <c r="AK1086" s="137"/>
      <c r="AL1086" s="137"/>
    </row>
    <row r="1087">
      <c r="A1087" s="131"/>
      <c r="B1087" s="132"/>
      <c r="C1087" s="132"/>
      <c r="Q1087" s="133"/>
      <c r="Y1087" s="134"/>
      <c r="AB1087" s="135"/>
      <c r="AE1087" s="134"/>
      <c r="AF1087" s="132"/>
      <c r="AH1087" s="136"/>
      <c r="AJ1087" s="137"/>
      <c r="AK1087" s="137"/>
      <c r="AL1087" s="137"/>
    </row>
    <row r="1088">
      <c r="A1088" s="131"/>
      <c r="B1088" s="132"/>
      <c r="C1088" s="132"/>
      <c r="Q1088" s="133"/>
      <c r="Y1088" s="134"/>
      <c r="AB1088" s="135"/>
      <c r="AE1088" s="134"/>
      <c r="AF1088" s="132"/>
      <c r="AH1088" s="136"/>
      <c r="AJ1088" s="137"/>
      <c r="AK1088" s="137"/>
      <c r="AL1088" s="137"/>
    </row>
    <row r="1089">
      <c r="A1089" s="131"/>
      <c r="B1089" s="132"/>
      <c r="C1089" s="132"/>
      <c r="Q1089" s="133"/>
      <c r="Y1089" s="134"/>
      <c r="AB1089" s="135"/>
      <c r="AE1089" s="134"/>
      <c r="AF1089" s="132"/>
      <c r="AH1089" s="136"/>
      <c r="AJ1089" s="137"/>
      <c r="AK1089" s="137"/>
      <c r="AL1089" s="137"/>
    </row>
    <row r="1090">
      <c r="A1090" s="131"/>
      <c r="B1090" s="132"/>
      <c r="C1090" s="132"/>
      <c r="Q1090" s="133"/>
      <c r="Y1090" s="134"/>
      <c r="AB1090" s="135"/>
      <c r="AE1090" s="134"/>
      <c r="AF1090" s="132"/>
      <c r="AH1090" s="136"/>
      <c r="AJ1090" s="137"/>
      <c r="AK1090" s="137"/>
      <c r="AL1090" s="137"/>
    </row>
    <row r="1091">
      <c r="A1091" s="131"/>
      <c r="B1091" s="132"/>
      <c r="C1091" s="132"/>
      <c r="Q1091" s="133"/>
      <c r="Y1091" s="134"/>
      <c r="AB1091" s="135"/>
      <c r="AE1091" s="134"/>
      <c r="AF1091" s="132"/>
      <c r="AH1091" s="136"/>
      <c r="AJ1091" s="137"/>
      <c r="AK1091" s="137"/>
      <c r="AL1091" s="137"/>
    </row>
    <row r="1092">
      <c r="A1092" s="131"/>
      <c r="B1092" s="132"/>
      <c r="C1092" s="132"/>
      <c r="Q1092" s="133"/>
      <c r="Y1092" s="134"/>
      <c r="AB1092" s="135"/>
      <c r="AE1092" s="134"/>
      <c r="AF1092" s="132"/>
      <c r="AH1092" s="136"/>
      <c r="AJ1092" s="137"/>
      <c r="AK1092" s="137"/>
      <c r="AL1092" s="137"/>
    </row>
    <row r="1093">
      <c r="A1093" s="131"/>
      <c r="B1093" s="132"/>
      <c r="C1093" s="132"/>
      <c r="Q1093" s="133"/>
      <c r="Y1093" s="134"/>
      <c r="AB1093" s="135"/>
      <c r="AE1093" s="134"/>
      <c r="AF1093" s="132"/>
      <c r="AH1093" s="136"/>
      <c r="AJ1093" s="137"/>
      <c r="AK1093" s="137"/>
      <c r="AL1093" s="137"/>
    </row>
    <row r="1094">
      <c r="A1094" s="131"/>
      <c r="B1094" s="132"/>
      <c r="C1094" s="132"/>
      <c r="Q1094" s="133"/>
      <c r="Y1094" s="134"/>
      <c r="AB1094" s="135"/>
      <c r="AE1094" s="134"/>
      <c r="AF1094" s="132"/>
      <c r="AH1094" s="136"/>
      <c r="AJ1094" s="137"/>
      <c r="AK1094" s="137"/>
      <c r="AL1094" s="137"/>
    </row>
    <row r="1095">
      <c r="A1095" s="131"/>
      <c r="B1095" s="132"/>
      <c r="C1095" s="132"/>
      <c r="Q1095" s="133"/>
      <c r="Y1095" s="134"/>
      <c r="AB1095" s="135"/>
      <c r="AE1095" s="134"/>
      <c r="AF1095" s="132"/>
      <c r="AH1095" s="136"/>
      <c r="AJ1095" s="137"/>
      <c r="AK1095" s="137"/>
      <c r="AL1095" s="137"/>
    </row>
    <row r="1096">
      <c r="A1096" s="131"/>
      <c r="B1096" s="132"/>
      <c r="C1096" s="132"/>
      <c r="Q1096" s="133"/>
      <c r="Y1096" s="134"/>
      <c r="AB1096" s="135"/>
      <c r="AE1096" s="134"/>
      <c r="AF1096" s="132"/>
      <c r="AH1096" s="136"/>
      <c r="AJ1096" s="137"/>
      <c r="AK1096" s="137"/>
      <c r="AL1096" s="137"/>
    </row>
    <row r="1097">
      <c r="A1097" s="131"/>
      <c r="B1097" s="132"/>
      <c r="C1097" s="132"/>
      <c r="Q1097" s="133"/>
      <c r="Y1097" s="134"/>
      <c r="AB1097" s="135"/>
      <c r="AE1097" s="134"/>
      <c r="AF1097" s="132"/>
      <c r="AH1097" s="136"/>
      <c r="AJ1097" s="137"/>
      <c r="AK1097" s="137"/>
      <c r="AL1097" s="137"/>
    </row>
    <row r="1098">
      <c r="A1098" s="131"/>
      <c r="B1098" s="132"/>
      <c r="C1098" s="132"/>
      <c r="Q1098" s="133"/>
      <c r="Y1098" s="134"/>
      <c r="AB1098" s="135"/>
      <c r="AE1098" s="134"/>
      <c r="AF1098" s="132"/>
      <c r="AH1098" s="136"/>
      <c r="AJ1098" s="137"/>
      <c r="AK1098" s="137"/>
      <c r="AL1098" s="137"/>
    </row>
    <row r="1099">
      <c r="A1099" s="131"/>
      <c r="B1099" s="132"/>
      <c r="C1099" s="132"/>
      <c r="Q1099" s="133"/>
      <c r="Y1099" s="134"/>
      <c r="AB1099" s="135"/>
      <c r="AE1099" s="134"/>
      <c r="AF1099" s="132"/>
      <c r="AH1099" s="136"/>
      <c r="AJ1099" s="137"/>
      <c r="AK1099" s="137"/>
      <c r="AL1099" s="137"/>
    </row>
    <row r="1100">
      <c r="A1100" s="131"/>
      <c r="B1100" s="132"/>
      <c r="C1100" s="132"/>
      <c r="Q1100" s="133"/>
      <c r="Y1100" s="134"/>
      <c r="AB1100" s="135"/>
      <c r="AE1100" s="134"/>
      <c r="AF1100" s="132"/>
      <c r="AH1100" s="136"/>
      <c r="AJ1100" s="137"/>
      <c r="AK1100" s="137"/>
      <c r="AL1100" s="137"/>
    </row>
    <row r="1101">
      <c r="A1101" s="131"/>
      <c r="B1101" s="132"/>
      <c r="C1101" s="132"/>
      <c r="Q1101" s="133"/>
      <c r="Y1101" s="134"/>
      <c r="AB1101" s="135"/>
      <c r="AE1101" s="134"/>
      <c r="AF1101" s="132"/>
      <c r="AH1101" s="136"/>
      <c r="AJ1101" s="137"/>
      <c r="AK1101" s="137"/>
      <c r="AL1101" s="137"/>
    </row>
    <row r="1102">
      <c r="A1102" s="131"/>
      <c r="B1102" s="132"/>
      <c r="C1102" s="132"/>
      <c r="Q1102" s="133"/>
      <c r="Y1102" s="134"/>
      <c r="AB1102" s="135"/>
      <c r="AE1102" s="134"/>
      <c r="AF1102" s="132"/>
      <c r="AH1102" s="136"/>
      <c r="AJ1102" s="137"/>
      <c r="AK1102" s="137"/>
      <c r="AL1102" s="137"/>
    </row>
    <row r="1103">
      <c r="A1103" s="131"/>
      <c r="B1103" s="132"/>
      <c r="C1103" s="132"/>
      <c r="Q1103" s="133"/>
      <c r="Y1103" s="134"/>
      <c r="AB1103" s="135"/>
      <c r="AE1103" s="134"/>
      <c r="AF1103" s="132"/>
      <c r="AH1103" s="136"/>
      <c r="AJ1103" s="137"/>
      <c r="AK1103" s="137"/>
      <c r="AL1103" s="137"/>
    </row>
    <row r="1104">
      <c r="A1104" s="131"/>
      <c r="B1104" s="132"/>
      <c r="C1104" s="132"/>
      <c r="Q1104" s="133"/>
      <c r="Y1104" s="134"/>
      <c r="AB1104" s="135"/>
      <c r="AE1104" s="134"/>
      <c r="AF1104" s="132"/>
      <c r="AH1104" s="136"/>
      <c r="AJ1104" s="137"/>
      <c r="AK1104" s="137"/>
      <c r="AL1104" s="137"/>
    </row>
    <row r="1105">
      <c r="A1105" s="131"/>
      <c r="B1105" s="132"/>
      <c r="C1105" s="132"/>
      <c r="Q1105" s="133"/>
      <c r="Y1105" s="134"/>
      <c r="AB1105" s="135"/>
      <c r="AE1105" s="134"/>
      <c r="AF1105" s="132"/>
      <c r="AH1105" s="136"/>
      <c r="AJ1105" s="137"/>
      <c r="AK1105" s="137"/>
      <c r="AL1105" s="137"/>
    </row>
    <row r="1106">
      <c r="A1106" s="131"/>
      <c r="B1106" s="132"/>
      <c r="C1106" s="132"/>
      <c r="Q1106" s="133"/>
      <c r="Y1106" s="134"/>
      <c r="AB1106" s="135"/>
      <c r="AE1106" s="134"/>
      <c r="AF1106" s="132"/>
      <c r="AH1106" s="136"/>
      <c r="AJ1106" s="137"/>
      <c r="AK1106" s="137"/>
      <c r="AL1106" s="137"/>
    </row>
    <row r="1107">
      <c r="A1107" s="131"/>
      <c r="B1107" s="132"/>
      <c r="C1107" s="132"/>
      <c r="Q1107" s="133"/>
      <c r="Y1107" s="134"/>
      <c r="AB1107" s="135"/>
      <c r="AE1107" s="134"/>
      <c r="AF1107" s="132"/>
      <c r="AH1107" s="136"/>
      <c r="AJ1107" s="137"/>
      <c r="AK1107" s="137"/>
      <c r="AL1107" s="137"/>
    </row>
    <row r="1108">
      <c r="A1108" s="131"/>
      <c r="B1108" s="132"/>
      <c r="C1108" s="132"/>
      <c r="Q1108" s="133"/>
      <c r="Y1108" s="134"/>
      <c r="AB1108" s="135"/>
      <c r="AE1108" s="134"/>
      <c r="AF1108" s="132"/>
      <c r="AH1108" s="136"/>
      <c r="AJ1108" s="137"/>
      <c r="AK1108" s="137"/>
      <c r="AL1108" s="137"/>
    </row>
    <row r="1109">
      <c r="A1109" s="131"/>
      <c r="B1109" s="132"/>
      <c r="C1109" s="132"/>
      <c r="Q1109" s="133"/>
      <c r="Y1109" s="134"/>
      <c r="AB1109" s="135"/>
      <c r="AE1109" s="134"/>
      <c r="AF1109" s="132"/>
      <c r="AH1109" s="136"/>
      <c r="AJ1109" s="137"/>
      <c r="AK1109" s="137"/>
      <c r="AL1109" s="137"/>
    </row>
    <row r="1110">
      <c r="A1110" s="131"/>
      <c r="B1110" s="132"/>
      <c r="C1110" s="132"/>
      <c r="Q1110" s="133"/>
      <c r="Y1110" s="134"/>
      <c r="AB1110" s="135"/>
      <c r="AE1110" s="134"/>
      <c r="AF1110" s="132"/>
      <c r="AH1110" s="136"/>
      <c r="AJ1110" s="137"/>
      <c r="AK1110" s="137"/>
      <c r="AL1110" s="137"/>
    </row>
    <row r="1111">
      <c r="A1111" s="131"/>
      <c r="B1111" s="132"/>
      <c r="C1111" s="132"/>
      <c r="Q1111" s="133"/>
      <c r="Y1111" s="134"/>
      <c r="AB1111" s="135"/>
      <c r="AE1111" s="134"/>
      <c r="AF1111" s="132"/>
      <c r="AH1111" s="136"/>
      <c r="AJ1111" s="137"/>
      <c r="AK1111" s="137"/>
      <c r="AL1111" s="137"/>
    </row>
    <row r="1112">
      <c r="A1112" s="131"/>
      <c r="B1112" s="132"/>
      <c r="C1112" s="132"/>
      <c r="Q1112" s="133"/>
      <c r="Y1112" s="134"/>
      <c r="AB1112" s="135"/>
      <c r="AE1112" s="134"/>
      <c r="AF1112" s="132"/>
      <c r="AH1112" s="136"/>
      <c r="AJ1112" s="137"/>
      <c r="AK1112" s="137"/>
      <c r="AL1112" s="137"/>
    </row>
    <row r="1113">
      <c r="A1113" s="131"/>
      <c r="B1113" s="132"/>
      <c r="C1113" s="132"/>
      <c r="Q1113" s="133"/>
      <c r="Y1113" s="134"/>
      <c r="AB1113" s="135"/>
      <c r="AE1113" s="134"/>
      <c r="AF1113" s="132"/>
      <c r="AH1113" s="136"/>
      <c r="AJ1113" s="137"/>
      <c r="AK1113" s="137"/>
      <c r="AL1113" s="137"/>
    </row>
    <row r="1114">
      <c r="A1114" s="131"/>
      <c r="B1114" s="132"/>
      <c r="C1114" s="132"/>
      <c r="Q1114" s="133"/>
      <c r="Y1114" s="134"/>
      <c r="AB1114" s="135"/>
      <c r="AE1114" s="134"/>
      <c r="AF1114" s="132"/>
      <c r="AH1114" s="136"/>
      <c r="AJ1114" s="137"/>
      <c r="AK1114" s="137"/>
      <c r="AL1114" s="137"/>
    </row>
    <row r="1115">
      <c r="A1115" s="131"/>
      <c r="B1115" s="132"/>
      <c r="C1115" s="132"/>
      <c r="Q1115" s="133"/>
      <c r="Y1115" s="134"/>
      <c r="AB1115" s="135"/>
      <c r="AE1115" s="134"/>
      <c r="AF1115" s="132"/>
      <c r="AH1115" s="136"/>
      <c r="AJ1115" s="137"/>
      <c r="AK1115" s="137"/>
      <c r="AL1115" s="137"/>
    </row>
    <row r="1116">
      <c r="A1116" s="131"/>
      <c r="B1116" s="132"/>
      <c r="C1116" s="132"/>
      <c r="Q1116" s="133"/>
      <c r="Y1116" s="134"/>
      <c r="AB1116" s="135"/>
      <c r="AE1116" s="134"/>
      <c r="AF1116" s="132"/>
      <c r="AH1116" s="136"/>
      <c r="AJ1116" s="137"/>
      <c r="AK1116" s="137"/>
      <c r="AL1116" s="137"/>
    </row>
    <row r="1117">
      <c r="A1117" s="131"/>
      <c r="B1117" s="132"/>
      <c r="C1117" s="132"/>
      <c r="Q1117" s="133"/>
      <c r="Y1117" s="134"/>
      <c r="AB1117" s="135"/>
      <c r="AE1117" s="134"/>
      <c r="AF1117" s="132"/>
      <c r="AH1117" s="136"/>
      <c r="AJ1117" s="137"/>
      <c r="AK1117" s="137"/>
      <c r="AL1117" s="137"/>
    </row>
    <row r="1118">
      <c r="A1118" s="131"/>
      <c r="B1118" s="132"/>
      <c r="C1118" s="132"/>
      <c r="Q1118" s="133"/>
      <c r="Y1118" s="134"/>
      <c r="AB1118" s="135"/>
      <c r="AE1118" s="134"/>
      <c r="AF1118" s="132"/>
      <c r="AH1118" s="136"/>
      <c r="AJ1118" s="137"/>
      <c r="AK1118" s="137"/>
      <c r="AL1118" s="137"/>
    </row>
    <row r="1119">
      <c r="A1119" s="131"/>
      <c r="B1119" s="132"/>
      <c r="C1119" s="132"/>
      <c r="Q1119" s="133"/>
      <c r="Y1119" s="134"/>
      <c r="AB1119" s="135"/>
      <c r="AE1119" s="134"/>
      <c r="AF1119" s="132"/>
      <c r="AH1119" s="136"/>
      <c r="AJ1119" s="137"/>
      <c r="AK1119" s="137"/>
      <c r="AL1119" s="137"/>
    </row>
    <row r="1120">
      <c r="A1120" s="131"/>
      <c r="B1120" s="132"/>
      <c r="C1120" s="132"/>
      <c r="Q1120" s="133"/>
      <c r="Y1120" s="134"/>
      <c r="AB1120" s="135"/>
      <c r="AE1120" s="134"/>
      <c r="AF1120" s="132"/>
      <c r="AH1120" s="136"/>
      <c r="AJ1120" s="137"/>
      <c r="AK1120" s="137"/>
      <c r="AL1120" s="137"/>
    </row>
    <row r="1121">
      <c r="A1121" s="131"/>
      <c r="B1121" s="132"/>
      <c r="C1121" s="132"/>
      <c r="Q1121" s="133"/>
      <c r="Y1121" s="134"/>
      <c r="AB1121" s="135"/>
      <c r="AE1121" s="134"/>
      <c r="AF1121" s="132"/>
      <c r="AH1121" s="136"/>
      <c r="AJ1121" s="137"/>
      <c r="AK1121" s="137"/>
      <c r="AL1121" s="137"/>
    </row>
    <row r="1122">
      <c r="A1122" s="131"/>
      <c r="B1122" s="132"/>
      <c r="C1122" s="132"/>
      <c r="Q1122" s="133"/>
      <c r="Y1122" s="134"/>
      <c r="AB1122" s="135"/>
      <c r="AE1122" s="134"/>
      <c r="AF1122" s="132"/>
      <c r="AH1122" s="136"/>
      <c r="AJ1122" s="137"/>
      <c r="AK1122" s="137"/>
      <c r="AL1122" s="137"/>
    </row>
    <row r="1123">
      <c r="A1123" s="131"/>
      <c r="B1123" s="132"/>
      <c r="C1123" s="132"/>
      <c r="Q1123" s="133"/>
      <c r="Y1123" s="134"/>
      <c r="AB1123" s="135"/>
      <c r="AE1123" s="134"/>
      <c r="AF1123" s="132"/>
      <c r="AH1123" s="136"/>
      <c r="AJ1123" s="137"/>
      <c r="AK1123" s="137"/>
      <c r="AL1123" s="137"/>
    </row>
    <row r="1124">
      <c r="A1124" s="131"/>
      <c r="B1124" s="132"/>
      <c r="C1124" s="132"/>
      <c r="Q1124" s="133"/>
      <c r="Y1124" s="134"/>
      <c r="AB1124" s="135"/>
      <c r="AE1124" s="134"/>
      <c r="AF1124" s="132"/>
      <c r="AH1124" s="136"/>
      <c r="AJ1124" s="137"/>
      <c r="AK1124" s="137"/>
      <c r="AL1124" s="137"/>
    </row>
    <row r="1125">
      <c r="A1125" s="131"/>
      <c r="B1125" s="132"/>
      <c r="C1125" s="132"/>
      <c r="Q1125" s="133"/>
      <c r="Y1125" s="134"/>
      <c r="AB1125" s="135"/>
      <c r="AE1125" s="134"/>
      <c r="AF1125" s="132"/>
      <c r="AH1125" s="136"/>
      <c r="AJ1125" s="137"/>
      <c r="AK1125" s="137"/>
      <c r="AL1125" s="137"/>
    </row>
    <row r="1126">
      <c r="A1126" s="131"/>
      <c r="B1126" s="132"/>
      <c r="C1126" s="132"/>
      <c r="Q1126" s="133"/>
      <c r="Y1126" s="134"/>
      <c r="AB1126" s="135"/>
      <c r="AE1126" s="134"/>
      <c r="AF1126" s="132"/>
      <c r="AH1126" s="136"/>
      <c r="AJ1126" s="137"/>
      <c r="AK1126" s="137"/>
      <c r="AL1126" s="137"/>
    </row>
    <row r="1127">
      <c r="A1127" s="131"/>
      <c r="B1127" s="132"/>
      <c r="C1127" s="132"/>
      <c r="Q1127" s="133"/>
      <c r="Y1127" s="134"/>
      <c r="AB1127" s="135"/>
      <c r="AE1127" s="134"/>
      <c r="AF1127" s="132"/>
      <c r="AH1127" s="136"/>
      <c r="AJ1127" s="137"/>
      <c r="AK1127" s="137"/>
      <c r="AL1127" s="137"/>
    </row>
    <row r="1128">
      <c r="A1128" s="131"/>
      <c r="B1128" s="132"/>
      <c r="C1128" s="132"/>
      <c r="Q1128" s="133"/>
      <c r="Y1128" s="134"/>
      <c r="AB1128" s="135"/>
      <c r="AE1128" s="134"/>
      <c r="AF1128" s="132"/>
      <c r="AH1128" s="136"/>
      <c r="AJ1128" s="137"/>
      <c r="AK1128" s="137"/>
      <c r="AL1128" s="137"/>
    </row>
    <row r="1129">
      <c r="A1129" s="131"/>
      <c r="B1129" s="132"/>
      <c r="C1129" s="132"/>
      <c r="Q1129" s="133"/>
      <c r="Y1129" s="134"/>
      <c r="AB1129" s="135"/>
      <c r="AE1129" s="134"/>
      <c r="AF1129" s="132"/>
      <c r="AH1129" s="136"/>
      <c r="AJ1129" s="137"/>
      <c r="AK1129" s="137"/>
      <c r="AL1129" s="137"/>
    </row>
    <row r="1130">
      <c r="A1130" s="131"/>
      <c r="B1130" s="132"/>
      <c r="C1130" s="132"/>
      <c r="Q1130" s="133"/>
      <c r="Y1130" s="134"/>
      <c r="AB1130" s="135"/>
      <c r="AE1130" s="134"/>
      <c r="AF1130" s="132"/>
      <c r="AH1130" s="136"/>
      <c r="AJ1130" s="137"/>
      <c r="AK1130" s="137"/>
      <c r="AL1130" s="137"/>
    </row>
    <row r="1131">
      <c r="A1131" s="131"/>
      <c r="B1131" s="132"/>
      <c r="C1131" s="132"/>
      <c r="Q1131" s="133"/>
      <c r="Y1131" s="134"/>
      <c r="AB1131" s="135"/>
      <c r="AE1131" s="134"/>
      <c r="AF1131" s="132"/>
      <c r="AH1131" s="136"/>
      <c r="AJ1131" s="137"/>
      <c r="AK1131" s="137"/>
      <c r="AL1131" s="137"/>
    </row>
    <row r="1132">
      <c r="A1132" s="131"/>
      <c r="B1132" s="132"/>
      <c r="C1132" s="132"/>
      <c r="Q1132" s="133"/>
      <c r="Y1132" s="134"/>
      <c r="AB1132" s="135"/>
      <c r="AE1132" s="134"/>
      <c r="AF1132" s="132"/>
      <c r="AH1132" s="136"/>
      <c r="AJ1132" s="137"/>
      <c r="AK1132" s="137"/>
      <c r="AL1132" s="137"/>
    </row>
    <row r="1133">
      <c r="A1133" s="131"/>
      <c r="B1133" s="132"/>
      <c r="C1133" s="132"/>
      <c r="Q1133" s="133"/>
      <c r="Y1133" s="134"/>
      <c r="AB1133" s="135"/>
      <c r="AE1133" s="134"/>
      <c r="AF1133" s="132"/>
      <c r="AH1133" s="136"/>
      <c r="AJ1133" s="137"/>
      <c r="AK1133" s="137"/>
      <c r="AL1133" s="137"/>
    </row>
    <row r="1134">
      <c r="A1134" s="131"/>
      <c r="B1134" s="132"/>
      <c r="C1134" s="132"/>
      <c r="Q1134" s="133"/>
      <c r="Y1134" s="134"/>
      <c r="AB1134" s="135"/>
      <c r="AE1134" s="134"/>
      <c r="AF1134" s="132"/>
      <c r="AH1134" s="136"/>
      <c r="AJ1134" s="137"/>
      <c r="AK1134" s="137"/>
      <c r="AL1134" s="137"/>
    </row>
    <row r="1135">
      <c r="A1135" s="131"/>
      <c r="B1135" s="132"/>
      <c r="C1135" s="132"/>
      <c r="Q1135" s="133"/>
      <c r="Y1135" s="134"/>
      <c r="AB1135" s="135"/>
      <c r="AE1135" s="134"/>
      <c r="AF1135" s="132"/>
      <c r="AH1135" s="136"/>
      <c r="AJ1135" s="137"/>
      <c r="AK1135" s="137"/>
      <c r="AL1135" s="137"/>
    </row>
    <row r="1136">
      <c r="A1136" s="131"/>
      <c r="B1136" s="132"/>
      <c r="C1136" s="132"/>
      <c r="Q1136" s="133"/>
      <c r="Y1136" s="134"/>
      <c r="AB1136" s="135"/>
      <c r="AE1136" s="134"/>
      <c r="AF1136" s="132"/>
      <c r="AH1136" s="136"/>
      <c r="AJ1136" s="137"/>
      <c r="AK1136" s="137"/>
      <c r="AL1136" s="137"/>
    </row>
    <row r="1137">
      <c r="A1137" s="131"/>
      <c r="B1137" s="132"/>
      <c r="C1137" s="132"/>
      <c r="Q1137" s="133"/>
      <c r="Y1137" s="134"/>
      <c r="AB1137" s="135"/>
      <c r="AE1137" s="134"/>
      <c r="AF1137" s="132"/>
      <c r="AH1137" s="136"/>
      <c r="AJ1137" s="137"/>
      <c r="AK1137" s="137"/>
      <c r="AL1137" s="137"/>
    </row>
    <row r="1138">
      <c r="A1138" s="131"/>
      <c r="B1138" s="132"/>
      <c r="C1138" s="132"/>
      <c r="Q1138" s="133"/>
      <c r="Y1138" s="134"/>
      <c r="AB1138" s="135"/>
      <c r="AE1138" s="134"/>
      <c r="AF1138" s="132"/>
      <c r="AH1138" s="136"/>
      <c r="AJ1138" s="137"/>
      <c r="AK1138" s="137"/>
      <c r="AL1138" s="137"/>
    </row>
    <row r="1139">
      <c r="A1139" s="131"/>
      <c r="B1139" s="132"/>
      <c r="C1139" s="132"/>
      <c r="Q1139" s="133"/>
      <c r="Y1139" s="134"/>
      <c r="AB1139" s="135"/>
      <c r="AE1139" s="134"/>
      <c r="AF1139" s="132"/>
      <c r="AH1139" s="136"/>
      <c r="AJ1139" s="137"/>
      <c r="AK1139" s="137"/>
      <c r="AL1139" s="137"/>
    </row>
    <row r="1140">
      <c r="A1140" s="131"/>
      <c r="B1140" s="132"/>
      <c r="C1140" s="132"/>
      <c r="Q1140" s="133"/>
      <c r="Y1140" s="134"/>
      <c r="AB1140" s="135"/>
      <c r="AE1140" s="134"/>
      <c r="AF1140" s="132"/>
      <c r="AH1140" s="136"/>
      <c r="AJ1140" s="137"/>
      <c r="AK1140" s="137"/>
      <c r="AL1140" s="137"/>
    </row>
    <row r="1141">
      <c r="A1141" s="131"/>
      <c r="B1141" s="132"/>
      <c r="C1141" s="132"/>
      <c r="Q1141" s="133"/>
      <c r="Y1141" s="134"/>
      <c r="AB1141" s="135"/>
      <c r="AE1141" s="134"/>
      <c r="AF1141" s="132"/>
      <c r="AH1141" s="136"/>
      <c r="AJ1141" s="137"/>
      <c r="AK1141" s="137"/>
      <c r="AL1141" s="137"/>
    </row>
    <row r="1142">
      <c r="A1142" s="131"/>
      <c r="B1142" s="132"/>
      <c r="C1142" s="132"/>
      <c r="Q1142" s="133"/>
      <c r="Y1142" s="134"/>
      <c r="AB1142" s="135"/>
      <c r="AE1142" s="134"/>
      <c r="AF1142" s="132"/>
      <c r="AH1142" s="136"/>
      <c r="AJ1142" s="137"/>
      <c r="AK1142" s="137"/>
      <c r="AL1142" s="137"/>
    </row>
    <row r="1143">
      <c r="A1143" s="131"/>
      <c r="B1143" s="132"/>
      <c r="C1143" s="132"/>
      <c r="Q1143" s="133"/>
      <c r="Y1143" s="134"/>
      <c r="AB1143" s="135"/>
      <c r="AE1143" s="134"/>
      <c r="AF1143" s="132"/>
      <c r="AH1143" s="136"/>
      <c r="AJ1143" s="137"/>
      <c r="AK1143" s="137"/>
      <c r="AL1143" s="137"/>
    </row>
    <row r="1144">
      <c r="A1144" s="131"/>
      <c r="B1144" s="132"/>
      <c r="C1144" s="132"/>
      <c r="Q1144" s="133"/>
      <c r="Y1144" s="134"/>
      <c r="AB1144" s="135"/>
      <c r="AE1144" s="134"/>
      <c r="AF1144" s="132"/>
      <c r="AH1144" s="136"/>
      <c r="AJ1144" s="137"/>
      <c r="AK1144" s="137"/>
      <c r="AL1144" s="137"/>
    </row>
    <row r="1145">
      <c r="A1145" s="131"/>
      <c r="B1145" s="132"/>
      <c r="C1145" s="132"/>
      <c r="Q1145" s="133"/>
      <c r="Y1145" s="134"/>
      <c r="AB1145" s="135"/>
      <c r="AE1145" s="134"/>
      <c r="AF1145" s="132"/>
      <c r="AH1145" s="136"/>
      <c r="AJ1145" s="137"/>
      <c r="AK1145" s="137"/>
      <c r="AL1145" s="137"/>
    </row>
    <row r="1146">
      <c r="A1146" s="131"/>
      <c r="B1146" s="132"/>
      <c r="C1146" s="132"/>
      <c r="Q1146" s="133"/>
      <c r="Y1146" s="134"/>
      <c r="AB1146" s="135"/>
      <c r="AE1146" s="134"/>
      <c r="AF1146" s="132"/>
      <c r="AH1146" s="136"/>
      <c r="AJ1146" s="137"/>
      <c r="AK1146" s="137"/>
      <c r="AL1146" s="137"/>
    </row>
    <row r="1147">
      <c r="A1147" s="131"/>
      <c r="B1147" s="132"/>
      <c r="C1147" s="132"/>
      <c r="Q1147" s="133"/>
      <c r="Y1147" s="134"/>
      <c r="AB1147" s="135"/>
      <c r="AE1147" s="134"/>
      <c r="AF1147" s="132"/>
      <c r="AH1147" s="136"/>
      <c r="AJ1147" s="137"/>
      <c r="AK1147" s="137"/>
      <c r="AL1147" s="137"/>
    </row>
    <row r="1148">
      <c r="A1148" s="131"/>
      <c r="B1148" s="132"/>
      <c r="C1148" s="132"/>
      <c r="Q1148" s="133"/>
      <c r="Y1148" s="134"/>
      <c r="AB1148" s="135"/>
      <c r="AE1148" s="134"/>
      <c r="AF1148" s="132"/>
      <c r="AH1148" s="136"/>
      <c r="AJ1148" s="137"/>
      <c r="AK1148" s="137"/>
      <c r="AL1148" s="137"/>
    </row>
    <row r="1149">
      <c r="A1149" s="131"/>
      <c r="B1149" s="132"/>
      <c r="C1149" s="132"/>
      <c r="Q1149" s="133"/>
      <c r="Y1149" s="134"/>
      <c r="AB1149" s="135"/>
      <c r="AE1149" s="134"/>
      <c r="AF1149" s="132"/>
      <c r="AH1149" s="136"/>
      <c r="AJ1149" s="137"/>
      <c r="AK1149" s="137"/>
      <c r="AL1149" s="137"/>
    </row>
    <row r="1150">
      <c r="A1150" s="131"/>
      <c r="B1150" s="132"/>
      <c r="C1150" s="132"/>
      <c r="Q1150" s="133"/>
      <c r="Y1150" s="134"/>
      <c r="AB1150" s="135"/>
      <c r="AE1150" s="134"/>
      <c r="AF1150" s="132"/>
      <c r="AH1150" s="136"/>
      <c r="AJ1150" s="137"/>
      <c r="AK1150" s="137"/>
      <c r="AL1150" s="137"/>
    </row>
    <row r="1151">
      <c r="A1151" s="131"/>
      <c r="B1151" s="132"/>
      <c r="C1151" s="132"/>
      <c r="Q1151" s="133"/>
      <c r="Y1151" s="134"/>
      <c r="AB1151" s="135"/>
      <c r="AE1151" s="134"/>
      <c r="AF1151" s="132"/>
      <c r="AH1151" s="136"/>
      <c r="AJ1151" s="137"/>
      <c r="AK1151" s="137"/>
      <c r="AL1151" s="137"/>
    </row>
    <row r="1152">
      <c r="A1152" s="131"/>
      <c r="B1152" s="132"/>
      <c r="C1152" s="132"/>
      <c r="Q1152" s="133"/>
      <c r="Y1152" s="134"/>
      <c r="AB1152" s="135"/>
      <c r="AE1152" s="134"/>
      <c r="AF1152" s="132"/>
      <c r="AH1152" s="136"/>
      <c r="AJ1152" s="137"/>
      <c r="AK1152" s="137"/>
      <c r="AL1152" s="137"/>
    </row>
    <row r="1153">
      <c r="A1153" s="131"/>
      <c r="B1153" s="132"/>
      <c r="C1153" s="132"/>
      <c r="Q1153" s="133"/>
      <c r="Y1153" s="134"/>
      <c r="AB1153" s="135"/>
      <c r="AE1153" s="134"/>
      <c r="AF1153" s="132"/>
      <c r="AH1153" s="136"/>
      <c r="AJ1153" s="137"/>
      <c r="AK1153" s="137"/>
      <c r="AL1153" s="137"/>
    </row>
    <row r="1154">
      <c r="A1154" s="131"/>
      <c r="B1154" s="132"/>
      <c r="C1154" s="132"/>
      <c r="Q1154" s="133"/>
      <c r="Y1154" s="134"/>
      <c r="AB1154" s="135"/>
      <c r="AE1154" s="134"/>
      <c r="AF1154" s="132"/>
      <c r="AH1154" s="136"/>
      <c r="AJ1154" s="137"/>
      <c r="AK1154" s="137"/>
      <c r="AL1154" s="137"/>
    </row>
    <row r="1155">
      <c r="A1155" s="131"/>
      <c r="B1155" s="132"/>
      <c r="C1155" s="132"/>
      <c r="Q1155" s="133"/>
      <c r="Y1155" s="134"/>
      <c r="AB1155" s="135"/>
      <c r="AE1155" s="134"/>
      <c r="AF1155" s="132"/>
      <c r="AH1155" s="136"/>
      <c r="AJ1155" s="137"/>
      <c r="AK1155" s="137"/>
      <c r="AL1155" s="137"/>
    </row>
    <row r="1156">
      <c r="A1156" s="131"/>
      <c r="B1156" s="132"/>
      <c r="C1156" s="132"/>
      <c r="Q1156" s="133"/>
      <c r="Y1156" s="134"/>
      <c r="AB1156" s="135"/>
      <c r="AE1156" s="134"/>
      <c r="AF1156" s="132"/>
      <c r="AH1156" s="136"/>
      <c r="AJ1156" s="137"/>
      <c r="AK1156" s="137"/>
      <c r="AL1156" s="137"/>
    </row>
    <row r="1157">
      <c r="A1157" s="131"/>
      <c r="B1157" s="132"/>
      <c r="C1157" s="132"/>
      <c r="Q1157" s="133"/>
      <c r="Y1157" s="134"/>
      <c r="AB1157" s="135"/>
      <c r="AE1157" s="134"/>
      <c r="AF1157" s="132"/>
      <c r="AH1157" s="136"/>
      <c r="AJ1157" s="137"/>
      <c r="AK1157" s="137"/>
      <c r="AL1157" s="137"/>
    </row>
    <row r="1158">
      <c r="A1158" s="131"/>
      <c r="B1158" s="132"/>
      <c r="C1158" s="132"/>
      <c r="Q1158" s="133"/>
      <c r="Y1158" s="134"/>
      <c r="AB1158" s="135"/>
      <c r="AE1158" s="134"/>
      <c r="AF1158" s="132"/>
      <c r="AH1158" s="136"/>
      <c r="AJ1158" s="137"/>
      <c r="AK1158" s="137"/>
      <c r="AL1158" s="137"/>
    </row>
    <row r="1159">
      <c r="A1159" s="131"/>
      <c r="B1159" s="132"/>
      <c r="C1159" s="132"/>
      <c r="Q1159" s="133"/>
      <c r="Y1159" s="134"/>
      <c r="AB1159" s="135"/>
      <c r="AE1159" s="134"/>
      <c r="AF1159" s="132"/>
      <c r="AH1159" s="136"/>
      <c r="AJ1159" s="137"/>
      <c r="AK1159" s="137"/>
      <c r="AL1159" s="137"/>
    </row>
    <row r="1160">
      <c r="A1160" s="131"/>
      <c r="B1160" s="132"/>
      <c r="C1160" s="132"/>
      <c r="Q1160" s="133"/>
      <c r="Y1160" s="134"/>
      <c r="AB1160" s="135"/>
      <c r="AE1160" s="134"/>
      <c r="AF1160" s="132"/>
      <c r="AH1160" s="136"/>
      <c r="AJ1160" s="137"/>
      <c r="AK1160" s="137"/>
      <c r="AL1160" s="137"/>
    </row>
    <row r="1161">
      <c r="A1161" s="131"/>
      <c r="B1161" s="132"/>
      <c r="C1161" s="132"/>
      <c r="Q1161" s="133"/>
      <c r="Y1161" s="134"/>
      <c r="AB1161" s="135"/>
      <c r="AE1161" s="134"/>
      <c r="AF1161" s="132"/>
      <c r="AH1161" s="136"/>
      <c r="AJ1161" s="137"/>
      <c r="AK1161" s="137"/>
      <c r="AL1161" s="137"/>
    </row>
    <row r="1162">
      <c r="A1162" s="131"/>
      <c r="B1162" s="132"/>
      <c r="C1162" s="132"/>
      <c r="Q1162" s="133"/>
      <c r="Y1162" s="134"/>
      <c r="AB1162" s="135"/>
      <c r="AE1162" s="134"/>
      <c r="AF1162" s="132"/>
      <c r="AH1162" s="136"/>
      <c r="AJ1162" s="137"/>
      <c r="AK1162" s="137"/>
      <c r="AL1162" s="137"/>
    </row>
    <row r="1163">
      <c r="A1163" s="131"/>
      <c r="B1163" s="132"/>
      <c r="C1163" s="132"/>
      <c r="Q1163" s="133"/>
      <c r="Y1163" s="134"/>
      <c r="AB1163" s="135"/>
      <c r="AE1163" s="134"/>
      <c r="AF1163" s="132"/>
      <c r="AH1163" s="136"/>
      <c r="AJ1163" s="137"/>
      <c r="AK1163" s="137"/>
      <c r="AL1163" s="137"/>
    </row>
    <row r="1164">
      <c r="A1164" s="131"/>
      <c r="B1164" s="132"/>
      <c r="C1164" s="132"/>
      <c r="Q1164" s="133"/>
      <c r="Y1164" s="134"/>
      <c r="AB1164" s="135"/>
      <c r="AE1164" s="134"/>
      <c r="AF1164" s="132"/>
      <c r="AH1164" s="136"/>
      <c r="AJ1164" s="137"/>
      <c r="AK1164" s="137"/>
      <c r="AL1164" s="137"/>
    </row>
    <row r="1165">
      <c r="A1165" s="131"/>
      <c r="B1165" s="132"/>
      <c r="C1165" s="132"/>
      <c r="Q1165" s="133"/>
      <c r="Y1165" s="134"/>
      <c r="AB1165" s="135"/>
      <c r="AE1165" s="134"/>
      <c r="AF1165" s="132"/>
      <c r="AH1165" s="136"/>
      <c r="AJ1165" s="137"/>
      <c r="AK1165" s="137"/>
      <c r="AL1165" s="137"/>
    </row>
    <row r="1166">
      <c r="A1166" s="131"/>
      <c r="B1166" s="132"/>
      <c r="C1166" s="132"/>
      <c r="Q1166" s="133"/>
      <c r="Y1166" s="134"/>
      <c r="AB1166" s="135"/>
      <c r="AE1166" s="134"/>
      <c r="AF1166" s="132"/>
      <c r="AH1166" s="136"/>
      <c r="AJ1166" s="137"/>
      <c r="AK1166" s="137"/>
      <c r="AL1166" s="137"/>
    </row>
    <row r="1167">
      <c r="A1167" s="131"/>
      <c r="B1167" s="132"/>
      <c r="C1167" s="132"/>
      <c r="Q1167" s="133"/>
      <c r="Y1167" s="134"/>
      <c r="AB1167" s="135"/>
      <c r="AE1167" s="134"/>
      <c r="AF1167" s="132"/>
      <c r="AH1167" s="136"/>
      <c r="AJ1167" s="137"/>
      <c r="AK1167" s="137"/>
      <c r="AL1167" s="137"/>
    </row>
    <row r="1168">
      <c r="A1168" s="131"/>
      <c r="B1168" s="132"/>
      <c r="C1168" s="132"/>
      <c r="Q1168" s="133"/>
      <c r="Y1168" s="134"/>
      <c r="AB1168" s="135"/>
      <c r="AE1168" s="134"/>
      <c r="AF1168" s="132"/>
      <c r="AH1168" s="136"/>
      <c r="AJ1168" s="137"/>
      <c r="AK1168" s="137"/>
      <c r="AL1168" s="137"/>
    </row>
    <row r="1169">
      <c r="A1169" s="131"/>
      <c r="B1169" s="132"/>
      <c r="C1169" s="132"/>
      <c r="Q1169" s="133"/>
      <c r="Y1169" s="134"/>
      <c r="AB1169" s="135"/>
      <c r="AE1169" s="134"/>
      <c r="AF1169" s="132"/>
      <c r="AH1169" s="136"/>
      <c r="AJ1169" s="137"/>
      <c r="AK1169" s="137"/>
      <c r="AL1169" s="137"/>
    </row>
    <row r="1170">
      <c r="A1170" s="131"/>
      <c r="B1170" s="132"/>
      <c r="C1170" s="132"/>
      <c r="Q1170" s="133"/>
      <c r="Y1170" s="134"/>
      <c r="AB1170" s="135"/>
      <c r="AE1170" s="134"/>
      <c r="AF1170" s="132"/>
      <c r="AH1170" s="136"/>
      <c r="AJ1170" s="137"/>
      <c r="AK1170" s="137"/>
      <c r="AL1170" s="137"/>
    </row>
    <row r="1171">
      <c r="A1171" s="131"/>
      <c r="B1171" s="132"/>
      <c r="C1171" s="132"/>
      <c r="Q1171" s="133"/>
      <c r="Y1171" s="134"/>
      <c r="AB1171" s="135"/>
      <c r="AE1171" s="134"/>
      <c r="AF1171" s="132"/>
      <c r="AH1171" s="136"/>
      <c r="AJ1171" s="137"/>
      <c r="AK1171" s="137"/>
      <c r="AL1171" s="137"/>
    </row>
    <row r="1172">
      <c r="A1172" s="131"/>
      <c r="B1172" s="132"/>
      <c r="C1172" s="132"/>
      <c r="Q1172" s="133"/>
      <c r="Y1172" s="134"/>
      <c r="AB1172" s="135"/>
      <c r="AE1172" s="134"/>
      <c r="AF1172" s="132"/>
      <c r="AH1172" s="136"/>
      <c r="AJ1172" s="137"/>
      <c r="AK1172" s="137"/>
      <c r="AL1172" s="137"/>
    </row>
    <row r="1173">
      <c r="A1173" s="131"/>
      <c r="B1173" s="132"/>
      <c r="C1173" s="132"/>
      <c r="Q1173" s="133"/>
      <c r="Y1173" s="134"/>
      <c r="AB1173" s="135"/>
      <c r="AE1173" s="134"/>
      <c r="AF1173" s="132"/>
      <c r="AH1173" s="136"/>
      <c r="AJ1173" s="137"/>
      <c r="AK1173" s="137"/>
      <c r="AL1173" s="137"/>
    </row>
    <row r="1174">
      <c r="A1174" s="131"/>
      <c r="B1174" s="132"/>
      <c r="C1174" s="132"/>
      <c r="Q1174" s="133"/>
      <c r="Y1174" s="134"/>
      <c r="AB1174" s="135"/>
      <c r="AE1174" s="134"/>
      <c r="AF1174" s="132"/>
      <c r="AH1174" s="136"/>
      <c r="AJ1174" s="137"/>
      <c r="AK1174" s="137"/>
      <c r="AL1174" s="137"/>
    </row>
    <row r="1175">
      <c r="A1175" s="131"/>
      <c r="B1175" s="132"/>
      <c r="C1175" s="132"/>
      <c r="Q1175" s="133"/>
      <c r="Y1175" s="134"/>
      <c r="AB1175" s="135"/>
      <c r="AE1175" s="134"/>
      <c r="AF1175" s="132"/>
      <c r="AH1175" s="136"/>
      <c r="AJ1175" s="137"/>
      <c r="AK1175" s="137"/>
      <c r="AL1175" s="137"/>
    </row>
    <row r="1176">
      <c r="A1176" s="131"/>
      <c r="B1176" s="132"/>
      <c r="C1176" s="132"/>
      <c r="Q1176" s="133"/>
      <c r="Y1176" s="134"/>
      <c r="AB1176" s="135"/>
      <c r="AE1176" s="134"/>
      <c r="AF1176" s="132"/>
      <c r="AH1176" s="136"/>
      <c r="AJ1176" s="137"/>
      <c r="AK1176" s="137"/>
      <c r="AL1176" s="137"/>
    </row>
    <row r="1177">
      <c r="A1177" s="131"/>
      <c r="B1177" s="132"/>
      <c r="C1177" s="132"/>
      <c r="Q1177" s="133"/>
      <c r="Y1177" s="134"/>
      <c r="AB1177" s="135"/>
      <c r="AE1177" s="134"/>
      <c r="AF1177" s="132"/>
      <c r="AH1177" s="136"/>
      <c r="AJ1177" s="137"/>
      <c r="AK1177" s="137"/>
      <c r="AL1177" s="137"/>
    </row>
    <row r="1178">
      <c r="A1178" s="138"/>
      <c r="B1178" s="139"/>
      <c r="C1178" s="139"/>
      <c r="D1178" s="140"/>
      <c r="E1178" s="140"/>
      <c r="F1178" s="140"/>
      <c r="G1178" s="140"/>
      <c r="H1178" s="140"/>
      <c r="I1178" s="140"/>
      <c r="J1178" s="140"/>
      <c r="K1178" s="140"/>
      <c r="L1178" s="140"/>
      <c r="M1178" s="140"/>
      <c r="N1178" s="140"/>
      <c r="Q1178" s="141"/>
      <c r="R1178" s="142"/>
      <c r="S1178" s="142"/>
      <c r="T1178" s="142"/>
      <c r="U1178" s="142"/>
      <c r="V1178" s="142"/>
      <c r="W1178" s="142"/>
      <c r="X1178" s="142"/>
      <c r="Y1178" s="143"/>
      <c r="Z1178" s="142"/>
      <c r="AA1178" s="142"/>
      <c r="AB1178" s="144"/>
      <c r="AC1178" s="145"/>
      <c r="AD1178" s="145"/>
      <c r="AE1178" s="146"/>
      <c r="AF1178" s="147"/>
      <c r="AG1178" s="145"/>
      <c r="AH1178" s="148"/>
      <c r="AJ1178" s="137"/>
      <c r="AK1178" s="137"/>
      <c r="AL1178" s="137"/>
    </row>
  </sheetData>
  <autoFilter ref="$A$1:$AN$1178">
    <sortState ref="A1:AN1178">
      <sortCondition descending="1" ref="A1:A1178"/>
      <sortCondition descending="1" ref="Y1:Y1178"/>
    </sortState>
  </autoFilter>
  <mergeCells count="1">
    <mergeCell ref="BE220:BJ232"/>
  </mergeCells>
  <hyperlinks>
    <hyperlink r:id="rId1" ref="A178"/>
    <hyperlink r:id="rId2" ref="A179"/>
    <hyperlink r:id="rId3" ref="A180"/>
    <hyperlink r:id="rId4" ref="A181"/>
    <hyperlink r:id="rId5" ref="A182"/>
    <hyperlink r:id="rId6" ref="A183"/>
    <hyperlink r:id="rId7" ref="A184"/>
    <hyperlink r:id="rId8" ref="A185"/>
    <hyperlink r:id="rId9" ref="A186"/>
    <hyperlink r:id="rId10" ref="A187"/>
    <hyperlink r:id="rId11" ref="A188"/>
    <hyperlink r:id="rId12" ref="A189"/>
    <hyperlink r:id="rId13" ref="A190"/>
    <hyperlink r:id="rId14" ref="A191"/>
    <hyperlink r:id="rId15" ref="A192"/>
    <hyperlink r:id="rId16" ref="A193"/>
    <hyperlink r:id="rId17" ref="A194"/>
    <hyperlink r:id="rId18" ref="A195"/>
    <hyperlink r:id="rId19" ref="A196"/>
    <hyperlink r:id="rId20" ref="A197"/>
    <hyperlink r:id="rId21" ref="A198"/>
    <hyperlink r:id="rId22" ref="A199"/>
    <hyperlink r:id="rId23" ref="A201"/>
    <hyperlink r:id="rId24" ref="A202"/>
    <hyperlink r:id="rId25" ref="A203"/>
    <hyperlink r:id="rId26" ref="A204"/>
    <hyperlink r:id="rId27" ref="A205"/>
    <hyperlink r:id="rId28" ref="A206"/>
    <hyperlink r:id="rId29" ref="A207"/>
    <hyperlink r:id="rId30" ref="A208"/>
    <hyperlink r:id="rId31" ref="A209"/>
    <hyperlink r:id="rId32" ref="A210"/>
    <hyperlink r:id="rId33" ref="A211"/>
    <hyperlink r:id="rId34" ref="A212"/>
    <hyperlink r:id="rId35" ref="A213"/>
    <hyperlink r:id="rId36" ref="A214"/>
    <hyperlink r:id="rId37" ref="A215"/>
    <hyperlink r:id="rId38" ref="A216"/>
    <hyperlink r:id="rId39" ref="A217"/>
    <hyperlink r:id="rId40" ref="A218"/>
    <hyperlink r:id="rId41" ref="A219"/>
    <hyperlink r:id="rId42" ref="A220"/>
    <hyperlink r:id="rId43" ref="A221"/>
    <hyperlink r:id="rId44" ref="A222"/>
    <hyperlink r:id="rId45" ref="A223"/>
    <hyperlink r:id="rId46" ref="A224"/>
    <hyperlink r:id="rId47" ref="A225"/>
    <hyperlink r:id="rId48" ref="A226"/>
    <hyperlink r:id="rId49" ref="A227"/>
  </hyperlinks>
  <drawing r:id="rId5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14.25"/>
    <col customWidth="1" min="3" max="35" width="6.5"/>
    <col customWidth="1" min="36" max="39" width="4.88"/>
  </cols>
  <sheetData>
    <row r="1" ht="81.75" customHeight="1">
      <c r="A1" s="149" t="str">
        <f>'ОСНОВА'!A1</f>
        <v>Дата</v>
      </c>
      <c r="B1" s="150"/>
      <c r="C1" s="150" t="str">
        <f>'ОСНОВА'!C1</f>
        <v>Ангарские</v>
      </c>
      <c r="D1" s="150" t="str">
        <f>'ОСНОВА'!D1</f>
        <v>Гольяново</v>
      </c>
      <c r="E1" s="150" t="str">
        <f>'ОСНОВА'!E1</f>
        <v>Кузьминки</v>
      </c>
      <c r="F1" s="150" t="str">
        <f>'ОСНОВА'!F1</f>
        <v>Кусково</v>
      </c>
      <c r="G1" s="150" t="str">
        <f>'ОСНОВА'!G1</f>
        <v>Олимпийка</v>
      </c>
      <c r="H1" s="150" t="str">
        <f>'ОСНОВА'!H1</f>
        <v>Царицыно</v>
      </c>
      <c r="I1" s="150" t="str">
        <f>'ОСНОВА'!I1</f>
        <v>Измайлово</v>
      </c>
      <c r="J1" s="150" t="str">
        <f>'ОСНОВА'!J1</f>
        <v>Троицк</v>
      </c>
      <c r="K1" s="150" t="str">
        <f>'ОСНОВА'!K1</f>
        <v>Печатники</v>
      </c>
      <c r="L1" s="150" t="str">
        <f>'ОСНОВА'!L1</f>
        <v>Екатерининский</v>
      </c>
      <c r="M1" s="150" t="str">
        <f>'ОСНОВА'!M1</f>
        <v>ЗИЛ</v>
      </c>
      <c r="N1" s="150" t="str">
        <f>'ОСНОВА'!N1</f>
        <v>Вешняки</v>
      </c>
      <c r="O1" s="151" t="s">
        <v>62</v>
      </c>
      <c r="P1" s="150" t="str">
        <f>'ОСНОВА'!P1</f>
        <v>Люблино</v>
      </c>
      <c r="Q1" s="150" t="str">
        <f>'ОСНОВА'!Q1</f>
        <v>Альметьевск</v>
      </c>
      <c r="R1" s="150" t="str">
        <f>'ОСНОВА'!R1</f>
        <v>Щёлково</v>
      </c>
      <c r="S1" s="150" t="str">
        <f>'ОСНОВА'!S1</f>
        <v>Ленск</v>
      </c>
      <c r="T1" s="150" t="str">
        <f>'ОСНОВА'!T1</f>
        <v>Орехово-
Зуево</v>
      </c>
      <c r="U1" s="150" t="str">
        <f>'ОСНОВА'!U1</f>
        <v>Тверь</v>
      </c>
      <c r="V1" s="150" t="str">
        <f>'ОСНОВА'!V1</f>
        <v>Иваново</v>
      </c>
      <c r="W1" s="150" t="str">
        <f>'ОСНОВА'!W1</f>
        <v>Хабаровск</v>
      </c>
      <c r="X1" s="150" t="str">
        <f>'ОСНОВА'!X1</f>
        <v>В.Новгород</v>
      </c>
      <c r="Y1" s="150" t="str">
        <f>'ОСНОВА'!Y1</f>
        <v>Саранск </v>
      </c>
      <c r="Z1" s="150" t="str">
        <f>'ОСНОВА'!Z1</f>
        <v>Пенза</v>
      </c>
      <c r="AA1" s="150" t="str">
        <f>'ОСНОВА'!AA1</f>
        <v>Валдай</v>
      </c>
      <c r="AB1" s="150" t="str">
        <f>'ОСНОВА'!AB1</f>
        <v>Подольск</v>
      </c>
      <c r="AC1" s="150" t="str">
        <f>'ОСНОВА'!AC1</f>
        <v>Гомель </v>
      </c>
      <c r="AD1" s="150" t="str">
        <f>'ОСНОВА'!AD1</f>
        <v>Гродно</v>
      </c>
      <c r="AE1" s="150" t="str">
        <f>'ОСНОВА'!AE1</f>
        <v>Брест </v>
      </c>
      <c r="AF1" s="150" t="str">
        <f>'ОСНОВА'!AF1</f>
        <v>Белград</v>
      </c>
      <c r="AG1" s="150" t="str">
        <f>'ОСНОВА'!AG1</f>
        <v>НовиСад</v>
      </c>
      <c r="AH1" s="150" t="str">
        <f>'ОСНОВА'!AH1</f>
        <v>S95&amp;F</v>
      </c>
      <c r="AI1" s="150"/>
      <c r="AJ1" s="150"/>
      <c r="AK1" s="150"/>
      <c r="AL1" s="150"/>
      <c r="AM1" s="150"/>
    </row>
    <row r="2">
      <c r="A2" s="152"/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</row>
    <row r="3">
      <c r="A3" s="153">
        <v>45997.0</v>
      </c>
      <c r="B3" s="154" t="s">
        <v>63</v>
      </c>
      <c r="C3" s="155">
        <f>'ОСНОВА'!C29</f>
        <v>57</v>
      </c>
      <c r="D3" s="155">
        <f>'ОСНОВА'!D29</f>
        <v>16</v>
      </c>
      <c r="E3" s="155">
        <f>'ОСНОВА'!E29</f>
        <v>333</v>
      </c>
      <c r="F3" s="155">
        <f>'ОСНОВА'!F29</f>
        <v>51</v>
      </c>
      <c r="G3" s="155">
        <f>'ОСНОВА'!G29</f>
        <v>19</v>
      </c>
      <c r="H3" s="155">
        <f>'ОСНОВА'!H29</f>
        <v>57</v>
      </c>
      <c r="I3" s="155">
        <f>'ОСНОВА'!I29</f>
        <v>60</v>
      </c>
      <c r="J3" s="155">
        <f>'ОСНОВА'!J29</f>
        <v>26</v>
      </c>
      <c r="K3" s="155">
        <f>'ОСНОВА'!K29</f>
        <v>24</v>
      </c>
      <c r="L3" s="155">
        <f>'ОСНОВА'!L29</f>
        <v>14</v>
      </c>
      <c r="M3" s="155">
        <f>'ОСНОВА'!M29</f>
        <v>21</v>
      </c>
      <c r="N3" s="155">
        <f>'ОСНОВА'!N29</f>
        <v>19</v>
      </c>
      <c r="O3" s="155"/>
      <c r="P3" s="155"/>
      <c r="Q3" s="155">
        <f>'ОСНОВА'!Q29</f>
        <v>7</v>
      </c>
      <c r="R3" s="155">
        <f>'ОСНОВА'!R29</f>
        <v>18</v>
      </c>
      <c r="S3" s="155">
        <f>'ОСНОВА'!S29</f>
        <v>15</v>
      </c>
      <c r="T3" s="155">
        <f>'ОСНОВА'!T29</f>
        <v>18</v>
      </c>
      <c r="U3" s="155">
        <f>'ОСНОВА'!U29</f>
        <v>59</v>
      </c>
      <c r="V3" s="155">
        <f>'ОСНОВА'!V29</f>
        <v>57</v>
      </c>
      <c r="W3" s="155">
        <f>'ОСНОВА'!W29</f>
        <v>9</v>
      </c>
      <c r="X3" s="155">
        <f>'ОСНОВА'!X29</f>
        <v>76</v>
      </c>
      <c r="Y3" s="155">
        <f>'ОСНОВА'!Y29</f>
        <v>52</v>
      </c>
      <c r="Z3" s="155">
        <f>'ОСНОВА'!Z29</f>
        <v>34</v>
      </c>
      <c r="AA3" s="155">
        <f>'ОСНОВА'!AA29</f>
        <v>11</v>
      </c>
      <c r="AB3" s="155">
        <f>'ОСНОВА'!AB29</f>
        <v>35</v>
      </c>
      <c r="AC3" s="155">
        <f>'ОСНОВА'!AC29</f>
        <v>32</v>
      </c>
      <c r="AD3" s="155">
        <f>'ОСНОВА'!AD29</f>
        <v>34</v>
      </c>
      <c r="AE3" s="155">
        <f>'ОСНОВА'!AE29</f>
        <v>33</v>
      </c>
      <c r="AF3" s="155">
        <f>'ОСНОВА'!AF29</f>
        <v>14</v>
      </c>
      <c r="AG3" s="155">
        <f>'ОСНОВА'!AG29</f>
        <v>13</v>
      </c>
      <c r="AH3" s="155" t="str">
        <f>'ОСНОВА'!AH29</f>
        <v/>
      </c>
      <c r="AI3" s="155">
        <f t="shared" ref="AI3:AI4" si="1">SUM(C3:AH3)</f>
        <v>1214</v>
      </c>
      <c r="AJ3" s="155"/>
      <c r="AK3" s="155"/>
      <c r="AL3" s="155"/>
      <c r="AM3" s="156"/>
    </row>
    <row r="4">
      <c r="A4" s="157"/>
      <c r="B4" s="158" t="s">
        <v>64</v>
      </c>
      <c r="C4" s="158">
        <v>1.0</v>
      </c>
      <c r="D4" s="158">
        <v>3.0</v>
      </c>
      <c r="E4" s="158">
        <v>37.0</v>
      </c>
      <c r="F4" s="158">
        <v>5.0</v>
      </c>
      <c r="G4" s="158">
        <v>2.0</v>
      </c>
      <c r="H4" s="158">
        <v>4.0</v>
      </c>
      <c r="I4" s="158">
        <v>3.0</v>
      </c>
      <c r="J4" s="158">
        <v>1.0</v>
      </c>
      <c r="K4" s="158">
        <v>3.0</v>
      </c>
      <c r="L4" s="158">
        <v>1.0</v>
      </c>
      <c r="M4" s="158">
        <v>6.0</v>
      </c>
      <c r="N4" s="158">
        <v>3.0</v>
      </c>
      <c r="O4" s="158"/>
      <c r="P4" s="158"/>
      <c r="Q4" s="158">
        <v>0.0</v>
      </c>
      <c r="R4" s="158">
        <v>3.0</v>
      </c>
      <c r="S4" s="158">
        <v>0.0</v>
      </c>
      <c r="T4" s="158">
        <v>1.0</v>
      </c>
      <c r="U4" s="158">
        <v>4.0</v>
      </c>
      <c r="V4" s="158">
        <v>13.0</v>
      </c>
      <c r="W4" s="158">
        <v>0.0</v>
      </c>
      <c r="X4" s="158">
        <v>8.0</v>
      </c>
      <c r="Y4" s="158">
        <v>4.0</v>
      </c>
      <c r="Z4" s="158">
        <v>2.0</v>
      </c>
      <c r="AA4" s="158">
        <v>1.0</v>
      </c>
      <c r="AB4" s="158">
        <v>2.0</v>
      </c>
      <c r="AC4" s="158">
        <v>3.0</v>
      </c>
      <c r="AD4" s="158">
        <v>6.0</v>
      </c>
      <c r="AE4" s="158">
        <v>2.0</v>
      </c>
      <c r="AF4" s="158">
        <v>2.0</v>
      </c>
      <c r="AG4" s="158">
        <v>1.0</v>
      </c>
      <c r="AH4" s="152"/>
      <c r="AI4" s="155">
        <f t="shared" si="1"/>
        <v>121</v>
      </c>
      <c r="AJ4" s="152"/>
      <c r="AK4" s="152"/>
      <c r="AL4" s="152"/>
      <c r="AM4" s="159"/>
    </row>
    <row r="5">
      <c r="A5" s="160"/>
      <c r="B5" s="161" t="s">
        <v>65</v>
      </c>
      <c r="C5" s="162">
        <f t="shared" ref="C5:N5" si="2">C4/C3</f>
        <v>0.01754385965</v>
      </c>
      <c r="D5" s="162">
        <f t="shared" si="2"/>
        <v>0.1875</v>
      </c>
      <c r="E5" s="162">
        <f t="shared" si="2"/>
        <v>0.1111111111</v>
      </c>
      <c r="F5" s="162">
        <f t="shared" si="2"/>
        <v>0.09803921569</v>
      </c>
      <c r="G5" s="162">
        <f t="shared" si="2"/>
        <v>0.1052631579</v>
      </c>
      <c r="H5" s="162">
        <f t="shared" si="2"/>
        <v>0.0701754386</v>
      </c>
      <c r="I5" s="162">
        <f t="shared" si="2"/>
        <v>0.05</v>
      </c>
      <c r="J5" s="162">
        <f t="shared" si="2"/>
        <v>0.03846153846</v>
      </c>
      <c r="K5" s="162">
        <f t="shared" si="2"/>
        <v>0.125</v>
      </c>
      <c r="L5" s="162">
        <f t="shared" si="2"/>
        <v>0.07142857143</v>
      </c>
      <c r="M5" s="162">
        <f t="shared" si="2"/>
        <v>0.2857142857</v>
      </c>
      <c r="N5" s="162">
        <f t="shared" si="2"/>
        <v>0.1578947368</v>
      </c>
      <c r="O5" s="162"/>
      <c r="P5" s="162"/>
      <c r="Q5" s="162">
        <f t="shared" ref="Q5:AG5" si="3">Q4/Q3</f>
        <v>0</v>
      </c>
      <c r="R5" s="162">
        <f t="shared" si="3"/>
        <v>0.1666666667</v>
      </c>
      <c r="S5" s="162">
        <f t="shared" si="3"/>
        <v>0</v>
      </c>
      <c r="T5" s="162">
        <f t="shared" si="3"/>
        <v>0.05555555556</v>
      </c>
      <c r="U5" s="162">
        <f t="shared" si="3"/>
        <v>0.06779661017</v>
      </c>
      <c r="V5" s="162">
        <f t="shared" si="3"/>
        <v>0.2280701754</v>
      </c>
      <c r="W5" s="162">
        <f t="shared" si="3"/>
        <v>0</v>
      </c>
      <c r="X5" s="162">
        <f t="shared" si="3"/>
        <v>0.1052631579</v>
      </c>
      <c r="Y5" s="162">
        <f t="shared" si="3"/>
        <v>0.07692307692</v>
      </c>
      <c r="Z5" s="162">
        <f t="shared" si="3"/>
        <v>0.05882352941</v>
      </c>
      <c r="AA5" s="162">
        <f t="shared" si="3"/>
        <v>0.09090909091</v>
      </c>
      <c r="AB5" s="162">
        <f t="shared" si="3"/>
        <v>0.05714285714</v>
      </c>
      <c r="AC5" s="162">
        <f t="shared" si="3"/>
        <v>0.09375</v>
      </c>
      <c r="AD5" s="162">
        <f t="shared" si="3"/>
        <v>0.1764705882</v>
      </c>
      <c r="AE5" s="162">
        <f t="shared" si="3"/>
        <v>0.06060606061</v>
      </c>
      <c r="AF5" s="162">
        <f t="shared" si="3"/>
        <v>0.1428571429</v>
      </c>
      <c r="AG5" s="162">
        <f t="shared" si="3"/>
        <v>0.07692307692</v>
      </c>
      <c r="AH5" s="162"/>
      <c r="AI5" s="162">
        <f>AI4/AI3</f>
        <v>0.09967051071</v>
      </c>
      <c r="AJ5" s="162"/>
      <c r="AK5" s="162"/>
      <c r="AL5" s="162"/>
      <c r="AM5" s="163"/>
    </row>
    <row r="6">
      <c r="A6" s="152"/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2"/>
      <c r="AE6" s="152"/>
      <c r="AF6" s="152"/>
      <c r="AG6" s="152"/>
      <c r="AH6" s="152"/>
      <c r="AI6" s="152"/>
      <c r="AJ6" s="152"/>
      <c r="AK6" s="152"/>
      <c r="AL6" s="152"/>
      <c r="AM6" s="152"/>
    </row>
    <row r="7">
      <c r="A7" s="153">
        <v>46004.0</v>
      </c>
      <c r="B7" s="154" t="s">
        <v>63</v>
      </c>
      <c r="C7" s="154">
        <f>'ОСНОВА'!C28</f>
        <v>43</v>
      </c>
      <c r="D7" s="154">
        <f>'ОСНОВА'!D28</f>
        <v>10</v>
      </c>
      <c r="E7" s="154">
        <f>'ОСНОВА'!E28</f>
        <v>98</v>
      </c>
      <c r="F7" s="154">
        <f>'ОСНОВА'!F28</f>
        <v>94</v>
      </c>
      <c r="G7" s="154">
        <f>'ОСНОВА'!G28</f>
        <v>14</v>
      </c>
      <c r="H7" s="154">
        <f>'ОСНОВА'!H28</f>
        <v>37</v>
      </c>
      <c r="I7" s="154">
        <f>'ОСНОВА'!I28</f>
        <v>36</v>
      </c>
      <c r="J7" s="154">
        <f>'ОСНОВА'!J28</f>
        <v>21</v>
      </c>
      <c r="K7" s="154">
        <f>'ОСНОВА'!K28</f>
        <v>21</v>
      </c>
      <c r="L7" s="154">
        <f>'ОСНОВА'!L28</f>
        <v>10</v>
      </c>
      <c r="M7" s="154">
        <f>'ОСНОВА'!M28</f>
        <v>6</v>
      </c>
      <c r="N7" s="154">
        <f>'ОСНОВА'!N28</f>
        <v>5</v>
      </c>
      <c r="O7" s="154"/>
      <c r="P7" s="154"/>
      <c r="Q7" s="154">
        <f>'ОСНОВА'!Q28</f>
        <v>8</v>
      </c>
      <c r="R7" s="154">
        <f>'ОСНОВА'!R28</f>
        <v>8</v>
      </c>
      <c r="S7" s="154">
        <f>'ОСНОВА'!S28</f>
        <v>12</v>
      </c>
      <c r="T7" s="154">
        <f>'ОСНОВА'!T28</f>
        <v>11</v>
      </c>
      <c r="U7" s="154">
        <f>'ОСНОВА'!U28</f>
        <v>32</v>
      </c>
      <c r="V7" s="154">
        <f>'ОСНОВА'!V28</f>
        <v>42</v>
      </c>
      <c r="W7" s="154">
        <f>'ОСНОВА'!W28</f>
        <v>6</v>
      </c>
      <c r="X7" s="154">
        <f>'ОСНОВА'!X28</f>
        <v>46</v>
      </c>
      <c r="Y7" s="154">
        <f>'ОСНОВА'!Y28</f>
        <v>21</v>
      </c>
      <c r="Z7" s="154">
        <f>'ОСНОВА'!Z28</f>
        <v>26</v>
      </c>
      <c r="AA7" s="154">
        <f>'ОСНОВА'!AA28</f>
        <v>4</v>
      </c>
      <c r="AB7" s="154">
        <f>'ОСНОВА'!AB28</f>
        <v>21</v>
      </c>
      <c r="AC7" s="154">
        <f>'ОСНОВА'!AC28</f>
        <v>26</v>
      </c>
      <c r="AD7" s="154">
        <f>'ОСНОВА'!AD28</f>
        <v>32</v>
      </c>
      <c r="AE7" s="154">
        <f>'ОСНОВА'!AE28</f>
        <v>34</v>
      </c>
      <c r="AF7" s="154">
        <f>'ОСНОВА'!AF28</f>
        <v>16</v>
      </c>
      <c r="AG7" s="154">
        <f>'ОСНОВА'!AG28</f>
        <v>5</v>
      </c>
      <c r="AH7" s="155" t="str">
        <f>'ОСНОВА'!AH33</f>
        <v/>
      </c>
      <c r="AI7" s="155">
        <f t="shared" ref="AI7:AI8" si="4">SUM(C7:AH7)</f>
        <v>745</v>
      </c>
      <c r="AJ7" s="155"/>
      <c r="AK7" s="155"/>
      <c r="AL7" s="155"/>
      <c r="AM7" s="156"/>
    </row>
    <row r="8">
      <c r="A8" s="157"/>
      <c r="B8" s="158" t="s">
        <v>64</v>
      </c>
      <c r="C8" s="158">
        <v>2.0</v>
      </c>
      <c r="D8" s="158">
        <v>0.0</v>
      </c>
      <c r="E8" s="158">
        <v>6.0</v>
      </c>
      <c r="F8" s="158">
        <v>7.0</v>
      </c>
      <c r="G8" s="158">
        <v>1.0</v>
      </c>
      <c r="H8" s="158">
        <v>2.0</v>
      </c>
      <c r="I8" s="158">
        <v>2.0</v>
      </c>
      <c r="J8" s="158">
        <v>0.0</v>
      </c>
      <c r="K8" s="158">
        <v>0.0</v>
      </c>
      <c r="L8" s="158">
        <v>2.0</v>
      </c>
      <c r="M8" s="158">
        <v>0.0</v>
      </c>
      <c r="N8" s="158">
        <v>0.0</v>
      </c>
      <c r="O8" s="158"/>
      <c r="P8" s="158"/>
      <c r="Q8" s="158">
        <v>1.0</v>
      </c>
      <c r="R8" s="158">
        <v>0.0</v>
      </c>
      <c r="S8" s="158">
        <v>0.0</v>
      </c>
      <c r="T8" s="158">
        <v>0.0</v>
      </c>
      <c r="U8" s="158"/>
      <c r="V8" s="158">
        <v>3.0</v>
      </c>
      <c r="W8" s="158">
        <v>0.0</v>
      </c>
      <c r="X8" s="158">
        <v>2.0</v>
      </c>
      <c r="Y8" s="158">
        <v>1.0</v>
      </c>
      <c r="Z8" s="158">
        <v>1.0</v>
      </c>
      <c r="AA8" s="158">
        <v>1.0</v>
      </c>
      <c r="AB8" s="158">
        <v>0.0</v>
      </c>
      <c r="AC8" s="158">
        <v>2.0</v>
      </c>
      <c r="AD8" s="158">
        <v>20.0</v>
      </c>
      <c r="AE8" s="158">
        <v>0.0</v>
      </c>
      <c r="AF8" s="158">
        <v>1.0</v>
      </c>
      <c r="AG8" s="158">
        <v>0.0</v>
      </c>
      <c r="AH8" s="152"/>
      <c r="AI8" s="155">
        <f t="shared" si="4"/>
        <v>54</v>
      </c>
      <c r="AJ8" s="152"/>
      <c r="AK8" s="152"/>
      <c r="AL8" s="152"/>
      <c r="AM8" s="159"/>
    </row>
    <row r="9">
      <c r="A9" s="160"/>
      <c r="B9" s="161" t="s">
        <v>65</v>
      </c>
      <c r="C9" s="162">
        <f t="shared" ref="C9:N9" si="5">C8/C7</f>
        <v>0.04651162791</v>
      </c>
      <c r="D9" s="162">
        <f t="shared" si="5"/>
        <v>0</v>
      </c>
      <c r="E9" s="162">
        <f t="shared" si="5"/>
        <v>0.0612244898</v>
      </c>
      <c r="F9" s="162">
        <f t="shared" si="5"/>
        <v>0.07446808511</v>
      </c>
      <c r="G9" s="162">
        <f t="shared" si="5"/>
        <v>0.07142857143</v>
      </c>
      <c r="H9" s="162">
        <f t="shared" si="5"/>
        <v>0.05405405405</v>
      </c>
      <c r="I9" s="162">
        <f t="shared" si="5"/>
        <v>0.05555555556</v>
      </c>
      <c r="J9" s="162">
        <f t="shared" si="5"/>
        <v>0</v>
      </c>
      <c r="K9" s="162">
        <f t="shared" si="5"/>
        <v>0</v>
      </c>
      <c r="L9" s="162">
        <f t="shared" si="5"/>
        <v>0.2</v>
      </c>
      <c r="M9" s="162">
        <f t="shared" si="5"/>
        <v>0</v>
      </c>
      <c r="N9" s="162">
        <f t="shared" si="5"/>
        <v>0</v>
      </c>
      <c r="O9" s="162"/>
      <c r="P9" s="162"/>
      <c r="Q9" s="162">
        <f t="shared" ref="Q9:AG9" si="6">Q8/Q7</f>
        <v>0.125</v>
      </c>
      <c r="R9" s="162">
        <f t="shared" si="6"/>
        <v>0</v>
      </c>
      <c r="S9" s="162">
        <f t="shared" si="6"/>
        <v>0</v>
      </c>
      <c r="T9" s="162">
        <f t="shared" si="6"/>
        <v>0</v>
      </c>
      <c r="U9" s="162">
        <f t="shared" si="6"/>
        <v>0</v>
      </c>
      <c r="V9" s="162">
        <f t="shared" si="6"/>
        <v>0.07142857143</v>
      </c>
      <c r="W9" s="162">
        <f t="shared" si="6"/>
        <v>0</v>
      </c>
      <c r="X9" s="162">
        <f t="shared" si="6"/>
        <v>0.04347826087</v>
      </c>
      <c r="Y9" s="162">
        <f t="shared" si="6"/>
        <v>0.04761904762</v>
      </c>
      <c r="Z9" s="162">
        <f t="shared" si="6"/>
        <v>0.03846153846</v>
      </c>
      <c r="AA9" s="162">
        <f t="shared" si="6"/>
        <v>0.25</v>
      </c>
      <c r="AB9" s="162">
        <f t="shared" si="6"/>
        <v>0</v>
      </c>
      <c r="AC9" s="162">
        <f t="shared" si="6"/>
        <v>0.07692307692</v>
      </c>
      <c r="AD9" s="162">
        <f t="shared" si="6"/>
        <v>0.625</v>
      </c>
      <c r="AE9" s="162">
        <f t="shared" si="6"/>
        <v>0</v>
      </c>
      <c r="AF9" s="162">
        <f t="shared" si="6"/>
        <v>0.0625</v>
      </c>
      <c r="AG9" s="162">
        <f t="shared" si="6"/>
        <v>0</v>
      </c>
      <c r="AH9" s="162"/>
      <c r="AI9" s="162">
        <f>AI8/AI7</f>
        <v>0.07248322148</v>
      </c>
      <c r="AJ9" s="162"/>
      <c r="AK9" s="162"/>
      <c r="AL9" s="162"/>
      <c r="AM9" s="163"/>
    </row>
    <row r="10">
      <c r="A10" s="150"/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  <c r="AL10" s="152"/>
      <c r="AM10" s="152"/>
    </row>
    <row r="11">
      <c r="A11" s="153">
        <v>46011.0</v>
      </c>
      <c r="B11" s="154" t="s">
        <v>63</v>
      </c>
      <c r="C11" s="154">
        <f>'ОСНОВА'!C27</f>
        <v>41</v>
      </c>
      <c r="D11" s="154">
        <f>'ОСНОВА'!D27</f>
        <v>10</v>
      </c>
      <c r="E11" s="154">
        <f>'ОСНОВА'!E27</f>
        <v>169</v>
      </c>
      <c r="F11" s="154">
        <f>'ОСНОВА'!F27</f>
        <v>31</v>
      </c>
      <c r="G11" s="154">
        <f>'ОСНОВА'!G27</f>
        <v>17</v>
      </c>
      <c r="H11" s="154">
        <f>'ОСНОВА'!H27</f>
        <v>46</v>
      </c>
      <c r="I11" s="154">
        <f>'ОСНОВА'!I27</f>
        <v>33</v>
      </c>
      <c r="J11" s="154">
        <f>'ОСНОВА'!J27</f>
        <v>19</v>
      </c>
      <c r="K11" s="154">
        <f>'ОСНОВА'!K27</f>
        <v>18</v>
      </c>
      <c r="L11" s="154">
        <f>'ОСНОВА'!L27</f>
        <v>4</v>
      </c>
      <c r="M11" s="154">
        <f>'ОСНОВА'!M27</f>
        <v>8</v>
      </c>
      <c r="N11" s="154">
        <f>'ОСНОВА'!N27</f>
        <v>12</v>
      </c>
      <c r="O11" s="154"/>
      <c r="P11" s="154"/>
      <c r="Q11" s="154">
        <f>'ОСНОВА'!Q27</f>
        <v>3</v>
      </c>
      <c r="R11" s="154">
        <f>'ОСНОВА'!R27</f>
        <v>14</v>
      </c>
      <c r="S11" s="154">
        <f>'ОСНОВА'!S27</f>
        <v>12</v>
      </c>
      <c r="T11" s="154">
        <f>'ОСНОВА'!T27</f>
        <v>8</v>
      </c>
      <c r="U11" s="154">
        <f>'ОСНОВА'!U27</f>
        <v>35</v>
      </c>
      <c r="V11" s="154">
        <f>'ОСНОВА'!V27</f>
        <v>27</v>
      </c>
      <c r="W11" s="154">
        <f>'ОСНОВА'!W27</f>
        <v>10</v>
      </c>
      <c r="X11" s="154">
        <f>'ОСНОВА'!X27</f>
        <v>100</v>
      </c>
      <c r="Y11" s="154">
        <f>'ОСНОВА'!Y27</f>
        <v>41</v>
      </c>
      <c r="Z11" s="154">
        <f>'ОСНОВА'!Z27</f>
        <v>33</v>
      </c>
      <c r="AA11" s="154">
        <f>'ОСНОВА'!AA27</f>
        <v>4</v>
      </c>
      <c r="AB11" s="154">
        <f>'ОСНОВА'!AB27</f>
        <v>19</v>
      </c>
      <c r="AC11" s="154">
        <f>'ОСНОВА'!AC27</f>
        <v>14</v>
      </c>
      <c r="AD11" s="154">
        <f>'ОСНОВА'!AD27</f>
        <v>21</v>
      </c>
      <c r="AE11" s="154">
        <f>'ОСНОВА'!AE27</f>
        <v>10</v>
      </c>
      <c r="AF11" s="154">
        <f>'ОСНОВА'!AF27</f>
        <v>23</v>
      </c>
      <c r="AG11" s="154">
        <f>'ОСНОВА'!AG27</f>
        <v>9</v>
      </c>
      <c r="AH11" s="155" t="str">
        <f>'ОСНОВА'!AH37</f>
        <v/>
      </c>
      <c r="AI11" s="155">
        <f t="shared" ref="AI11:AI12" si="7">SUM(C11:AH11)</f>
        <v>791</v>
      </c>
      <c r="AJ11" s="155"/>
      <c r="AK11" s="155"/>
      <c r="AL11" s="155"/>
      <c r="AM11" s="156"/>
    </row>
    <row r="12">
      <c r="A12" s="157"/>
      <c r="B12" s="158" t="s">
        <v>64</v>
      </c>
      <c r="C12" s="158">
        <v>2.0</v>
      </c>
      <c r="D12" s="158">
        <v>0.0</v>
      </c>
      <c r="E12" s="158">
        <v>10.0</v>
      </c>
      <c r="F12" s="158">
        <v>1.0</v>
      </c>
      <c r="G12" s="158">
        <v>0.0</v>
      </c>
      <c r="H12" s="158">
        <v>1.0</v>
      </c>
      <c r="I12" s="158">
        <v>0.0</v>
      </c>
      <c r="J12" s="158">
        <v>0.0</v>
      </c>
      <c r="K12" s="158">
        <v>0.0</v>
      </c>
      <c r="L12" s="158">
        <v>1.0</v>
      </c>
      <c r="M12" s="158">
        <v>0.0</v>
      </c>
      <c r="N12" s="158">
        <v>2.0</v>
      </c>
      <c r="O12" s="158"/>
      <c r="P12" s="158"/>
      <c r="Q12" s="158">
        <v>0.0</v>
      </c>
      <c r="R12" s="158">
        <v>0.0</v>
      </c>
      <c r="S12" s="158">
        <v>0.0</v>
      </c>
      <c r="T12" s="158">
        <v>2.0</v>
      </c>
      <c r="U12" s="158">
        <v>2.0</v>
      </c>
      <c r="V12" s="158">
        <v>2.0</v>
      </c>
      <c r="W12" s="158">
        <v>0.0</v>
      </c>
      <c r="X12" s="158">
        <v>5.0</v>
      </c>
      <c r="Y12" s="158">
        <v>1.0</v>
      </c>
      <c r="Z12" s="158">
        <v>0.0</v>
      </c>
      <c r="AA12" s="158">
        <v>0.0</v>
      </c>
      <c r="AB12" s="158">
        <v>2.0</v>
      </c>
      <c r="AC12" s="158">
        <v>1.0</v>
      </c>
      <c r="AD12" s="158">
        <v>2.0</v>
      </c>
      <c r="AE12" s="158">
        <v>0.0</v>
      </c>
      <c r="AF12" s="158">
        <v>1.0</v>
      </c>
      <c r="AG12" s="158">
        <v>0.0</v>
      </c>
      <c r="AH12" s="152"/>
      <c r="AI12" s="155">
        <f t="shared" si="7"/>
        <v>35</v>
      </c>
      <c r="AJ12" s="152"/>
      <c r="AK12" s="152"/>
      <c r="AL12" s="152"/>
      <c r="AM12" s="159"/>
    </row>
    <row r="13">
      <c r="A13" s="160"/>
      <c r="B13" s="161" t="s">
        <v>65</v>
      </c>
      <c r="C13" s="162">
        <f t="shared" ref="C13:N13" si="8">C12/C11</f>
        <v>0.0487804878</v>
      </c>
      <c r="D13" s="162">
        <f t="shared" si="8"/>
        <v>0</v>
      </c>
      <c r="E13" s="162">
        <f t="shared" si="8"/>
        <v>0.05917159763</v>
      </c>
      <c r="F13" s="162">
        <f t="shared" si="8"/>
        <v>0.03225806452</v>
      </c>
      <c r="G13" s="162">
        <f t="shared" si="8"/>
        <v>0</v>
      </c>
      <c r="H13" s="162">
        <f t="shared" si="8"/>
        <v>0.02173913043</v>
      </c>
      <c r="I13" s="162">
        <f t="shared" si="8"/>
        <v>0</v>
      </c>
      <c r="J13" s="162">
        <f t="shared" si="8"/>
        <v>0</v>
      </c>
      <c r="K13" s="162">
        <f t="shared" si="8"/>
        <v>0</v>
      </c>
      <c r="L13" s="162">
        <f t="shared" si="8"/>
        <v>0.25</v>
      </c>
      <c r="M13" s="162">
        <f t="shared" si="8"/>
        <v>0</v>
      </c>
      <c r="N13" s="162">
        <f t="shared" si="8"/>
        <v>0.1666666667</v>
      </c>
      <c r="O13" s="162"/>
      <c r="P13" s="162"/>
      <c r="Q13" s="162">
        <f t="shared" ref="Q13:AG13" si="9">Q12/Q11</f>
        <v>0</v>
      </c>
      <c r="R13" s="162">
        <f t="shared" si="9"/>
        <v>0</v>
      </c>
      <c r="S13" s="162">
        <f t="shared" si="9"/>
        <v>0</v>
      </c>
      <c r="T13" s="162">
        <f t="shared" si="9"/>
        <v>0.25</v>
      </c>
      <c r="U13" s="162">
        <f t="shared" si="9"/>
        <v>0.05714285714</v>
      </c>
      <c r="V13" s="162">
        <f t="shared" si="9"/>
        <v>0.07407407407</v>
      </c>
      <c r="W13" s="162">
        <f t="shared" si="9"/>
        <v>0</v>
      </c>
      <c r="X13" s="162">
        <f t="shared" si="9"/>
        <v>0.05</v>
      </c>
      <c r="Y13" s="162">
        <f t="shared" si="9"/>
        <v>0.0243902439</v>
      </c>
      <c r="Z13" s="162">
        <f t="shared" si="9"/>
        <v>0</v>
      </c>
      <c r="AA13" s="162">
        <f t="shared" si="9"/>
        <v>0</v>
      </c>
      <c r="AB13" s="162">
        <f t="shared" si="9"/>
        <v>0.1052631579</v>
      </c>
      <c r="AC13" s="162">
        <f t="shared" si="9"/>
        <v>0.07142857143</v>
      </c>
      <c r="AD13" s="162">
        <f t="shared" si="9"/>
        <v>0.09523809524</v>
      </c>
      <c r="AE13" s="162">
        <f t="shared" si="9"/>
        <v>0</v>
      </c>
      <c r="AF13" s="162">
        <f t="shared" si="9"/>
        <v>0.04347826087</v>
      </c>
      <c r="AG13" s="162">
        <f t="shared" si="9"/>
        <v>0</v>
      </c>
      <c r="AH13" s="162"/>
      <c r="AI13" s="162">
        <f>AI12/AI11</f>
        <v>0.04424778761</v>
      </c>
      <c r="AJ13" s="162"/>
      <c r="AK13" s="162"/>
      <c r="AL13" s="162"/>
      <c r="AM13" s="163"/>
    </row>
    <row r="14">
      <c r="A14" s="150"/>
      <c r="B14" s="152"/>
      <c r="C14" s="152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152"/>
      <c r="AB14" s="152"/>
      <c r="AC14" s="152"/>
      <c r="AD14" s="152"/>
      <c r="AE14" s="152"/>
      <c r="AF14" s="152"/>
      <c r="AG14" s="152"/>
      <c r="AH14" s="152"/>
      <c r="AI14" s="152"/>
      <c r="AJ14" s="152"/>
      <c r="AK14" s="152"/>
      <c r="AL14" s="152"/>
      <c r="AM14" s="152"/>
    </row>
    <row r="15">
      <c r="A15" s="153">
        <v>46018.0</v>
      </c>
      <c r="B15" s="154" t="s">
        <v>63</v>
      </c>
      <c r="C15" s="154">
        <f>'ОСНОВА'!C26</f>
        <v>68</v>
      </c>
      <c r="D15" s="154">
        <f>'ОСНОВА'!D26</f>
        <v>16</v>
      </c>
      <c r="E15" s="154">
        <f>'ОСНОВА'!E26</f>
        <v>150</v>
      </c>
      <c r="F15" s="154">
        <f>'ОСНОВА'!F26</f>
        <v>42</v>
      </c>
      <c r="G15" s="154">
        <f>'ОСНОВА'!G26</f>
        <v>17</v>
      </c>
      <c r="H15" s="154">
        <f>'ОСНОВА'!H26</f>
        <v>61</v>
      </c>
      <c r="I15" s="154">
        <f>'ОСНОВА'!I26</f>
        <v>49</v>
      </c>
      <c r="J15" s="154">
        <f>'ОСНОВА'!J26</f>
        <v>48</v>
      </c>
      <c r="K15" s="154">
        <f>'ОСНОВА'!K26</f>
        <v>35</v>
      </c>
      <c r="L15" s="154">
        <f>'ОСНОВА'!L26</f>
        <v>7</v>
      </c>
      <c r="M15" s="154">
        <f>'ОСНОВА'!M26</f>
        <v>10</v>
      </c>
      <c r="N15" s="154">
        <f>'ОСНОВА'!N26</f>
        <v>10</v>
      </c>
      <c r="O15" s="154"/>
      <c r="P15" s="154"/>
      <c r="Q15" s="154">
        <f>'ОСНОВА'!Q26</f>
        <v>3</v>
      </c>
      <c r="R15" s="154">
        <f>'ОСНОВА'!R26</f>
        <v>18</v>
      </c>
      <c r="S15" s="154">
        <f>'ОСНОВА'!S26</f>
        <v>11</v>
      </c>
      <c r="T15" s="154">
        <f>'ОСНОВА'!T26</f>
        <v>14</v>
      </c>
      <c r="U15" s="154">
        <f>'ОСНОВА'!U26</f>
        <v>49</v>
      </c>
      <c r="V15" s="154">
        <f>'ОСНОВА'!V26</f>
        <v>37</v>
      </c>
      <c r="W15" s="154">
        <f>'ОСНОВА'!W26</f>
        <v>33</v>
      </c>
      <c r="X15" s="154">
        <f>'ОСНОВА'!X26</f>
        <v>60</v>
      </c>
      <c r="Y15" s="154">
        <f>'ОСНОВА'!Y26</f>
        <v>32</v>
      </c>
      <c r="Z15" s="154">
        <f>'ОСНОВА'!Z26</f>
        <v>35</v>
      </c>
      <c r="AA15" s="154">
        <f>'ОСНОВА'!AA26</f>
        <v>13</v>
      </c>
      <c r="AB15" s="154">
        <f>'ОСНОВА'!AB26</f>
        <v>26</v>
      </c>
      <c r="AC15" s="154">
        <f>'ОСНОВА'!AC26</f>
        <v>19</v>
      </c>
      <c r="AD15" s="154">
        <f>'ОСНОВА'!AD26</f>
        <v>38</v>
      </c>
      <c r="AE15" s="154">
        <f>'ОСНОВА'!AE26</f>
        <v>17</v>
      </c>
      <c r="AF15" s="154">
        <f>'ОСНОВА'!AF26</f>
        <v>23</v>
      </c>
      <c r="AG15" s="154">
        <f>'ОСНОВА'!AG26</f>
        <v>10</v>
      </c>
      <c r="AH15" s="155" t="str">
        <f>'ОСНОВА'!AH41</f>
        <v/>
      </c>
      <c r="AI15" s="155">
        <f t="shared" ref="AI15:AI16" si="10">SUM(C15:AH15)</f>
        <v>951</v>
      </c>
      <c r="AJ15" s="155"/>
      <c r="AK15" s="155"/>
      <c r="AL15" s="155"/>
      <c r="AM15" s="156"/>
    </row>
    <row r="16">
      <c r="A16" s="157"/>
      <c r="B16" s="158" t="s">
        <v>64</v>
      </c>
      <c r="C16" s="158">
        <v>1.0</v>
      </c>
      <c r="D16" s="158">
        <v>0.0</v>
      </c>
      <c r="E16" s="158">
        <v>6.0</v>
      </c>
      <c r="F16" s="158">
        <v>1.0</v>
      </c>
      <c r="G16" s="158">
        <v>1.0</v>
      </c>
      <c r="H16" s="158">
        <v>2.0</v>
      </c>
      <c r="I16" s="158">
        <v>5.0</v>
      </c>
      <c r="J16" s="158">
        <v>0.0</v>
      </c>
      <c r="K16" s="158">
        <v>2.0</v>
      </c>
      <c r="L16" s="158">
        <v>1.0</v>
      </c>
      <c r="M16" s="158">
        <v>3.0</v>
      </c>
      <c r="N16" s="158">
        <v>1.0</v>
      </c>
      <c r="O16" s="158"/>
      <c r="P16" s="158"/>
      <c r="Q16" s="158">
        <v>0.0</v>
      </c>
      <c r="R16" s="158">
        <v>1.0</v>
      </c>
      <c r="S16" s="158">
        <v>0.0</v>
      </c>
      <c r="T16" s="158">
        <v>0.0</v>
      </c>
      <c r="U16" s="158">
        <v>7.0</v>
      </c>
      <c r="V16" s="158">
        <v>0.0</v>
      </c>
      <c r="W16" s="158">
        <v>11.0</v>
      </c>
      <c r="X16" s="158">
        <v>0.0</v>
      </c>
      <c r="Y16" s="158">
        <v>1.0</v>
      </c>
      <c r="Z16" s="158">
        <v>0.0</v>
      </c>
      <c r="AA16" s="158">
        <v>0.0</v>
      </c>
      <c r="AB16" s="158">
        <v>0.0</v>
      </c>
      <c r="AC16" s="158">
        <v>2.0</v>
      </c>
      <c r="AD16" s="158">
        <v>4.0</v>
      </c>
      <c r="AE16" s="158">
        <v>0.0</v>
      </c>
      <c r="AF16" s="158">
        <v>3.0</v>
      </c>
      <c r="AG16" s="158">
        <v>1.0</v>
      </c>
      <c r="AH16" s="152"/>
      <c r="AI16" s="155">
        <f t="shared" si="10"/>
        <v>53</v>
      </c>
      <c r="AJ16" s="152"/>
      <c r="AK16" s="152"/>
      <c r="AL16" s="152"/>
      <c r="AM16" s="159"/>
    </row>
    <row r="17">
      <c r="A17" s="160"/>
      <c r="B17" s="161" t="s">
        <v>65</v>
      </c>
      <c r="C17" s="162">
        <f t="shared" ref="C17:N17" si="11">C16/C15</f>
        <v>0.01470588235</v>
      </c>
      <c r="D17" s="162">
        <f t="shared" si="11"/>
        <v>0</v>
      </c>
      <c r="E17" s="162">
        <f t="shared" si="11"/>
        <v>0.04</v>
      </c>
      <c r="F17" s="162">
        <f t="shared" si="11"/>
        <v>0.02380952381</v>
      </c>
      <c r="G17" s="162">
        <f t="shared" si="11"/>
        <v>0.05882352941</v>
      </c>
      <c r="H17" s="162">
        <f t="shared" si="11"/>
        <v>0.03278688525</v>
      </c>
      <c r="I17" s="162">
        <f t="shared" si="11"/>
        <v>0.1020408163</v>
      </c>
      <c r="J17" s="162">
        <f t="shared" si="11"/>
        <v>0</v>
      </c>
      <c r="K17" s="162">
        <f t="shared" si="11"/>
        <v>0.05714285714</v>
      </c>
      <c r="L17" s="162">
        <f t="shared" si="11"/>
        <v>0.1428571429</v>
      </c>
      <c r="M17" s="162">
        <f t="shared" si="11"/>
        <v>0.3</v>
      </c>
      <c r="N17" s="162">
        <f t="shared" si="11"/>
        <v>0.1</v>
      </c>
      <c r="O17" s="162"/>
      <c r="P17" s="162"/>
      <c r="Q17" s="162">
        <f t="shared" ref="Q17:AG17" si="12">Q16/Q15</f>
        <v>0</v>
      </c>
      <c r="R17" s="162">
        <f t="shared" si="12"/>
        <v>0.05555555556</v>
      </c>
      <c r="S17" s="162">
        <f t="shared" si="12"/>
        <v>0</v>
      </c>
      <c r="T17" s="162">
        <f t="shared" si="12"/>
        <v>0</v>
      </c>
      <c r="U17" s="162">
        <f t="shared" si="12"/>
        <v>0.1428571429</v>
      </c>
      <c r="V17" s="162">
        <f t="shared" si="12"/>
        <v>0</v>
      </c>
      <c r="W17" s="162">
        <f t="shared" si="12"/>
        <v>0.3333333333</v>
      </c>
      <c r="X17" s="162">
        <f t="shared" si="12"/>
        <v>0</v>
      </c>
      <c r="Y17" s="162">
        <f t="shared" si="12"/>
        <v>0.03125</v>
      </c>
      <c r="Z17" s="162">
        <f t="shared" si="12"/>
        <v>0</v>
      </c>
      <c r="AA17" s="162">
        <f t="shared" si="12"/>
        <v>0</v>
      </c>
      <c r="AB17" s="162">
        <f t="shared" si="12"/>
        <v>0</v>
      </c>
      <c r="AC17" s="162">
        <f t="shared" si="12"/>
        <v>0.1052631579</v>
      </c>
      <c r="AD17" s="162">
        <f t="shared" si="12"/>
        <v>0.1052631579</v>
      </c>
      <c r="AE17" s="162">
        <f t="shared" si="12"/>
        <v>0</v>
      </c>
      <c r="AF17" s="162">
        <f t="shared" si="12"/>
        <v>0.1304347826</v>
      </c>
      <c r="AG17" s="162">
        <f t="shared" si="12"/>
        <v>0.1</v>
      </c>
      <c r="AH17" s="162"/>
      <c r="AI17" s="162">
        <f>AI16/AI15</f>
        <v>0.05573080967</v>
      </c>
      <c r="AJ17" s="162"/>
      <c r="AK17" s="162"/>
      <c r="AL17" s="162"/>
      <c r="AM17" s="163"/>
    </row>
    <row r="18">
      <c r="A18" s="150"/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  <c r="AF18" s="152"/>
      <c r="AG18" s="152"/>
      <c r="AH18" s="152"/>
      <c r="AI18" s="152"/>
      <c r="AJ18" s="152"/>
      <c r="AK18" s="152"/>
      <c r="AL18" s="152"/>
      <c r="AM18" s="152"/>
    </row>
    <row r="19">
      <c r="A19" s="153">
        <v>46023.0</v>
      </c>
      <c r="B19" s="154" t="s">
        <v>63</v>
      </c>
      <c r="C19" s="154">
        <f>'ОСНОВА'!C25</f>
        <v>39</v>
      </c>
      <c r="D19" s="154" t="str">
        <f>'ОСНОВА'!D25</f>
        <v/>
      </c>
      <c r="E19" s="154">
        <f>'ОСНОВА'!E25</f>
        <v>140</v>
      </c>
      <c r="F19" s="154">
        <f>'ОСНОВА'!F25</f>
        <v>34</v>
      </c>
      <c r="G19" s="154">
        <f>'ОСНОВА'!G25</f>
        <v>34</v>
      </c>
      <c r="H19" s="154">
        <f>'ОСНОВА'!H25</f>
        <v>46</v>
      </c>
      <c r="I19" s="154">
        <f>'ОСНОВА'!I25</f>
        <v>41</v>
      </c>
      <c r="J19" s="154" t="str">
        <f>'ОСНОВА'!J25</f>
        <v/>
      </c>
      <c r="K19" s="154">
        <f>'ОСНОВА'!K25</f>
        <v>34</v>
      </c>
      <c r="L19" s="154" t="str">
        <f>'ОСНОВА'!L25</f>
        <v/>
      </c>
      <c r="M19" s="154">
        <f>'ОСНОВА'!M25</f>
        <v>23</v>
      </c>
      <c r="N19" s="154" t="str">
        <f>'ОСНОВА'!N25</f>
        <v/>
      </c>
      <c r="O19" s="154"/>
      <c r="P19" s="154"/>
      <c r="Q19" s="154" t="str">
        <f>'ОСНОВА'!Q25</f>
        <v/>
      </c>
      <c r="R19" s="154" t="str">
        <f>'ОСНОВА'!R25</f>
        <v/>
      </c>
      <c r="S19" s="154" t="str">
        <f>'ОСНОВА'!S25</f>
        <v/>
      </c>
      <c r="T19" s="154" t="str">
        <f>'ОСНОВА'!T25</f>
        <v/>
      </c>
      <c r="U19" s="154" t="str">
        <f>'ОСНОВА'!U25</f>
        <v/>
      </c>
      <c r="V19" s="154">
        <f>'ОСНОВА'!V25</f>
        <v>52</v>
      </c>
      <c r="W19" s="154" t="str">
        <f>'ОСНОВА'!W25</f>
        <v/>
      </c>
      <c r="X19" s="154" t="str">
        <f>'ОСНОВА'!X25</f>
        <v/>
      </c>
      <c r="Y19" s="154">
        <f>'ОСНОВА'!Y25</f>
        <v>24</v>
      </c>
      <c r="Z19" s="154">
        <f>'ОСНОВА'!Z25</f>
        <v>16</v>
      </c>
      <c r="AA19" s="154" t="str">
        <f>'ОСНОВА'!AA25</f>
        <v/>
      </c>
      <c r="AB19" s="154" t="str">
        <f>'ОСНОВА'!AB25</f>
        <v/>
      </c>
      <c r="AC19" s="154">
        <f>'ОСНОВА'!AC25</f>
        <v>16</v>
      </c>
      <c r="AD19" s="154" t="str">
        <f>'ОСНОВА'!AD25</f>
        <v/>
      </c>
      <c r="AE19" s="154">
        <f>'ОСНОВА'!AE25</f>
        <v>91</v>
      </c>
      <c r="AF19" s="154">
        <f>'ОСНОВА'!AF25</f>
        <v>27</v>
      </c>
      <c r="AG19" s="154" t="str">
        <f>'ОСНОВА'!AG25</f>
        <v/>
      </c>
      <c r="AH19" s="155" t="str">
        <f>'ОСНОВА'!AH45</f>
        <v/>
      </c>
      <c r="AI19" s="155">
        <f t="shared" ref="AI19:AI20" si="13">SUM(C19:AH19)</f>
        <v>617</v>
      </c>
      <c r="AJ19" s="155"/>
      <c r="AK19" s="155"/>
      <c r="AL19" s="155"/>
      <c r="AM19" s="156"/>
    </row>
    <row r="20">
      <c r="A20" s="157"/>
      <c r="B20" s="158" t="s">
        <v>64</v>
      </c>
      <c r="C20" s="158">
        <v>1.0</v>
      </c>
      <c r="D20" s="158"/>
      <c r="E20" s="158">
        <v>4.0</v>
      </c>
      <c r="F20" s="158">
        <v>0.0</v>
      </c>
      <c r="G20" s="158">
        <v>6.0</v>
      </c>
      <c r="H20" s="158">
        <v>3.0</v>
      </c>
      <c r="I20" s="158">
        <v>4.0</v>
      </c>
      <c r="J20" s="158"/>
      <c r="K20" s="158">
        <v>1.0</v>
      </c>
      <c r="L20" s="158"/>
      <c r="M20" s="158">
        <v>4.0</v>
      </c>
      <c r="N20" s="158"/>
      <c r="O20" s="158"/>
      <c r="P20" s="158"/>
      <c r="Q20" s="158"/>
      <c r="R20" s="158"/>
      <c r="S20" s="158"/>
      <c r="T20" s="158"/>
      <c r="U20" s="158"/>
      <c r="V20" s="158">
        <v>3.0</v>
      </c>
      <c r="W20" s="158"/>
      <c r="X20" s="158"/>
      <c r="Y20" s="158">
        <v>1.0</v>
      </c>
      <c r="Z20" s="158">
        <v>0.0</v>
      </c>
      <c r="AA20" s="158"/>
      <c r="AB20" s="158"/>
      <c r="AC20" s="158">
        <v>0.0</v>
      </c>
      <c r="AD20" s="158"/>
      <c r="AE20" s="158">
        <v>47.0</v>
      </c>
      <c r="AF20" s="158">
        <v>3.0</v>
      </c>
      <c r="AG20" s="158"/>
      <c r="AH20" s="152"/>
      <c r="AI20" s="155">
        <f t="shared" si="13"/>
        <v>77</v>
      </c>
      <c r="AJ20" s="152"/>
      <c r="AK20" s="152"/>
      <c r="AL20" s="152"/>
      <c r="AM20" s="159"/>
    </row>
    <row r="21">
      <c r="A21" s="160"/>
      <c r="B21" s="161" t="s">
        <v>65</v>
      </c>
      <c r="C21" s="162">
        <f t="shared" ref="C21:N21" si="14">C20/C19</f>
        <v>0.02564102564</v>
      </c>
      <c r="D21" s="162" t="str">
        <f t="shared" si="14"/>
        <v>#DIV/0!</v>
      </c>
      <c r="E21" s="162">
        <f t="shared" si="14"/>
        <v>0.02857142857</v>
      </c>
      <c r="F21" s="162">
        <f t="shared" si="14"/>
        <v>0</v>
      </c>
      <c r="G21" s="162">
        <f t="shared" si="14"/>
        <v>0.1764705882</v>
      </c>
      <c r="H21" s="162">
        <f t="shared" si="14"/>
        <v>0.0652173913</v>
      </c>
      <c r="I21" s="162">
        <f t="shared" si="14"/>
        <v>0.09756097561</v>
      </c>
      <c r="J21" s="162" t="str">
        <f t="shared" si="14"/>
        <v>#DIV/0!</v>
      </c>
      <c r="K21" s="162">
        <f t="shared" si="14"/>
        <v>0.02941176471</v>
      </c>
      <c r="L21" s="162" t="str">
        <f t="shared" si="14"/>
        <v>#DIV/0!</v>
      </c>
      <c r="M21" s="162">
        <f t="shared" si="14"/>
        <v>0.1739130435</v>
      </c>
      <c r="N21" s="162" t="str">
        <f t="shared" si="14"/>
        <v>#DIV/0!</v>
      </c>
      <c r="O21" s="162"/>
      <c r="P21" s="162"/>
      <c r="Q21" s="162" t="str">
        <f t="shared" ref="Q21:AG21" si="15">Q20/Q19</f>
        <v>#DIV/0!</v>
      </c>
      <c r="R21" s="162" t="str">
        <f t="shared" si="15"/>
        <v>#DIV/0!</v>
      </c>
      <c r="S21" s="162" t="str">
        <f t="shared" si="15"/>
        <v>#DIV/0!</v>
      </c>
      <c r="T21" s="162" t="str">
        <f t="shared" si="15"/>
        <v>#DIV/0!</v>
      </c>
      <c r="U21" s="162" t="str">
        <f t="shared" si="15"/>
        <v>#DIV/0!</v>
      </c>
      <c r="V21" s="162">
        <f t="shared" si="15"/>
        <v>0.05769230769</v>
      </c>
      <c r="W21" s="162" t="str">
        <f t="shared" si="15"/>
        <v>#DIV/0!</v>
      </c>
      <c r="X21" s="162" t="str">
        <f t="shared" si="15"/>
        <v>#DIV/0!</v>
      </c>
      <c r="Y21" s="162">
        <f t="shared" si="15"/>
        <v>0.04166666667</v>
      </c>
      <c r="Z21" s="162">
        <f t="shared" si="15"/>
        <v>0</v>
      </c>
      <c r="AA21" s="162" t="str">
        <f t="shared" si="15"/>
        <v>#DIV/0!</v>
      </c>
      <c r="AB21" s="162" t="str">
        <f t="shared" si="15"/>
        <v>#DIV/0!</v>
      </c>
      <c r="AC21" s="162">
        <f t="shared" si="15"/>
        <v>0</v>
      </c>
      <c r="AD21" s="162" t="str">
        <f t="shared" si="15"/>
        <v>#DIV/0!</v>
      </c>
      <c r="AE21" s="162">
        <f t="shared" si="15"/>
        <v>0.5164835165</v>
      </c>
      <c r="AF21" s="162">
        <f t="shared" si="15"/>
        <v>0.1111111111</v>
      </c>
      <c r="AG21" s="162" t="str">
        <f t="shared" si="15"/>
        <v>#DIV/0!</v>
      </c>
      <c r="AH21" s="162"/>
      <c r="AI21" s="162">
        <f>AI20/AI19</f>
        <v>0.1247974068</v>
      </c>
      <c r="AJ21" s="162"/>
      <c r="AK21" s="162"/>
      <c r="AL21" s="162"/>
      <c r="AM21" s="163"/>
    </row>
    <row r="22">
      <c r="A22" s="150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  <c r="AK22" s="152"/>
      <c r="AL22" s="152"/>
      <c r="AM22" s="152"/>
    </row>
    <row r="23">
      <c r="A23" s="153">
        <v>46025.0</v>
      </c>
      <c r="B23" s="154" t="s">
        <v>63</v>
      </c>
      <c r="C23" s="154">
        <f>'ОСНОВА'!C24</f>
        <v>25</v>
      </c>
      <c r="D23" s="154">
        <f>'ОСНОВА'!D24</f>
        <v>12</v>
      </c>
      <c r="E23" s="154">
        <f>'ОСНОВА'!E24</f>
        <v>111</v>
      </c>
      <c r="F23" s="154">
        <f>'ОСНОВА'!F24</f>
        <v>35</v>
      </c>
      <c r="G23" s="154">
        <f>'ОСНОВА'!G24</f>
        <v>16</v>
      </c>
      <c r="H23" s="154">
        <f>'ОСНОВА'!H24</f>
        <v>37</v>
      </c>
      <c r="I23" s="154">
        <f>'ОСНОВА'!I24</f>
        <v>20</v>
      </c>
      <c r="J23" s="154">
        <f>'ОСНОВА'!J24</f>
        <v>19</v>
      </c>
      <c r="K23" s="154">
        <f>'ОСНОВА'!K24</f>
        <v>13</v>
      </c>
      <c r="L23" s="154">
        <f>'ОСНОВА'!L24</f>
        <v>9</v>
      </c>
      <c r="M23" s="154">
        <f>'ОСНОВА'!M24</f>
        <v>4</v>
      </c>
      <c r="N23" s="154">
        <f>'ОСНОВА'!N24</f>
        <v>9</v>
      </c>
      <c r="O23" s="154"/>
      <c r="P23" s="154"/>
      <c r="Q23" s="154">
        <f>'ОСНОВА'!Q24</f>
        <v>3</v>
      </c>
      <c r="R23" s="154">
        <f>'ОСНОВА'!R24</f>
        <v>9</v>
      </c>
      <c r="S23" s="154">
        <f>'ОСНОВА'!S24</f>
        <v>4</v>
      </c>
      <c r="T23" s="154">
        <f>'ОСНОВА'!T24</f>
        <v>10</v>
      </c>
      <c r="U23" s="154">
        <f>'ОСНОВА'!U24</f>
        <v>36</v>
      </c>
      <c r="V23" s="154">
        <f>'ОСНОВА'!V24</f>
        <v>47</v>
      </c>
      <c r="W23" s="154">
        <f>'ОСНОВА'!W24</f>
        <v>10</v>
      </c>
      <c r="X23" s="154">
        <f>'ОСНОВА'!X24</f>
        <v>50</v>
      </c>
      <c r="Y23" s="154">
        <f>'ОСНОВА'!Y24</f>
        <v>25</v>
      </c>
      <c r="Z23" s="154">
        <f>'ОСНОВА'!Z24</f>
        <v>24</v>
      </c>
      <c r="AA23" s="154">
        <f>'ОСНОВА'!AA24</f>
        <v>11</v>
      </c>
      <c r="AB23" s="154">
        <f>'ОСНОВА'!AB24</f>
        <v>29</v>
      </c>
      <c r="AC23" s="154">
        <f>'ОСНОВА'!AC24</f>
        <v>14</v>
      </c>
      <c r="AD23" s="154">
        <f>'ОСНОВА'!AD24</f>
        <v>18</v>
      </c>
      <c r="AE23" s="154">
        <f>'ОСНОВА'!AE24</f>
        <v>20</v>
      </c>
      <c r="AF23" s="154">
        <f>'ОСНОВА'!AF24</f>
        <v>13</v>
      </c>
      <c r="AG23" s="154">
        <f>'ОСНОВА'!AG24</f>
        <v>10</v>
      </c>
      <c r="AH23" s="155" t="str">
        <f>'ОСНОВА'!AH49</f>
        <v/>
      </c>
      <c r="AI23" s="155">
        <f t="shared" ref="AI23:AI24" si="16">SUM(C23:AH23)</f>
        <v>643</v>
      </c>
      <c r="AJ23" s="155"/>
      <c r="AK23" s="155"/>
      <c r="AL23" s="155"/>
      <c r="AM23" s="156"/>
    </row>
    <row r="24">
      <c r="A24" s="157"/>
      <c r="B24" s="158" t="s">
        <v>64</v>
      </c>
      <c r="C24" s="158">
        <v>0.0</v>
      </c>
      <c r="D24" s="158">
        <v>0.0</v>
      </c>
      <c r="E24" s="158">
        <v>1.0</v>
      </c>
      <c r="F24" s="158">
        <v>1.0</v>
      </c>
      <c r="G24" s="158">
        <v>4.0</v>
      </c>
      <c r="H24" s="158">
        <v>2.0</v>
      </c>
      <c r="I24" s="158">
        <v>1.0</v>
      </c>
      <c r="J24" s="158">
        <v>1.0</v>
      </c>
      <c r="K24" s="158">
        <v>0.0</v>
      </c>
      <c r="L24" s="158">
        <v>2.0</v>
      </c>
      <c r="M24" s="158">
        <v>0.0</v>
      </c>
      <c r="N24" s="158">
        <v>1.0</v>
      </c>
      <c r="O24" s="158"/>
      <c r="P24" s="158"/>
      <c r="Q24" s="158">
        <v>0.0</v>
      </c>
      <c r="R24" s="158">
        <v>0.0</v>
      </c>
      <c r="S24" s="158">
        <v>0.0</v>
      </c>
      <c r="T24" s="158">
        <v>0.0</v>
      </c>
      <c r="U24" s="158">
        <v>1.0</v>
      </c>
      <c r="V24" s="158">
        <v>1.0</v>
      </c>
      <c r="W24" s="158">
        <v>0.0</v>
      </c>
      <c r="X24" s="158">
        <v>1.0</v>
      </c>
      <c r="Y24" s="158">
        <v>1.0</v>
      </c>
      <c r="Z24" s="158">
        <v>1.0</v>
      </c>
      <c r="AA24" s="158">
        <v>1.0</v>
      </c>
      <c r="AB24" s="158">
        <v>3.0</v>
      </c>
      <c r="AC24" s="158">
        <v>0.0</v>
      </c>
      <c r="AD24" s="158">
        <v>4.0</v>
      </c>
      <c r="AE24" s="158">
        <v>0.0</v>
      </c>
      <c r="AF24" s="158">
        <v>0.0</v>
      </c>
      <c r="AG24" s="158">
        <v>0.0</v>
      </c>
      <c r="AH24" s="152"/>
      <c r="AI24" s="155">
        <f t="shared" si="16"/>
        <v>26</v>
      </c>
      <c r="AJ24" s="152"/>
      <c r="AK24" s="152"/>
      <c r="AL24" s="152"/>
      <c r="AM24" s="159"/>
    </row>
    <row r="25">
      <c r="A25" s="160"/>
      <c r="B25" s="161" t="s">
        <v>65</v>
      </c>
      <c r="C25" s="162">
        <f t="shared" ref="C25:N25" si="17">C24/C23</f>
        <v>0</v>
      </c>
      <c r="D25" s="162">
        <f t="shared" si="17"/>
        <v>0</v>
      </c>
      <c r="E25" s="162">
        <f t="shared" si="17"/>
        <v>0.009009009009</v>
      </c>
      <c r="F25" s="162">
        <f t="shared" si="17"/>
        <v>0.02857142857</v>
      </c>
      <c r="G25" s="162">
        <f t="shared" si="17"/>
        <v>0.25</v>
      </c>
      <c r="H25" s="162">
        <f t="shared" si="17"/>
        <v>0.05405405405</v>
      </c>
      <c r="I25" s="162">
        <f t="shared" si="17"/>
        <v>0.05</v>
      </c>
      <c r="J25" s="162">
        <f t="shared" si="17"/>
        <v>0.05263157895</v>
      </c>
      <c r="K25" s="162">
        <f t="shared" si="17"/>
        <v>0</v>
      </c>
      <c r="L25" s="162">
        <f t="shared" si="17"/>
        <v>0.2222222222</v>
      </c>
      <c r="M25" s="162">
        <f t="shared" si="17"/>
        <v>0</v>
      </c>
      <c r="N25" s="162">
        <f t="shared" si="17"/>
        <v>0.1111111111</v>
      </c>
      <c r="O25" s="162"/>
      <c r="P25" s="162"/>
      <c r="Q25" s="162">
        <f t="shared" ref="Q25:AG25" si="18">Q24/Q23</f>
        <v>0</v>
      </c>
      <c r="R25" s="162">
        <f t="shared" si="18"/>
        <v>0</v>
      </c>
      <c r="S25" s="162">
        <f t="shared" si="18"/>
        <v>0</v>
      </c>
      <c r="T25" s="162">
        <f t="shared" si="18"/>
        <v>0</v>
      </c>
      <c r="U25" s="162">
        <f t="shared" si="18"/>
        <v>0.02777777778</v>
      </c>
      <c r="V25" s="162">
        <f t="shared" si="18"/>
        <v>0.02127659574</v>
      </c>
      <c r="W25" s="162">
        <f t="shared" si="18"/>
        <v>0</v>
      </c>
      <c r="X25" s="162">
        <f t="shared" si="18"/>
        <v>0.02</v>
      </c>
      <c r="Y25" s="162">
        <f t="shared" si="18"/>
        <v>0.04</v>
      </c>
      <c r="Z25" s="162">
        <f t="shared" si="18"/>
        <v>0.04166666667</v>
      </c>
      <c r="AA25" s="162">
        <f t="shared" si="18"/>
        <v>0.09090909091</v>
      </c>
      <c r="AB25" s="162">
        <f t="shared" si="18"/>
        <v>0.1034482759</v>
      </c>
      <c r="AC25" s="162">
        <f t="shared" si="18"/>
        <v>0</v>
      </c>
      <c r="AD25" s="162">
        <f t="shared" si="18"/>
        <v>0.2222222222</v>
      </c>
      <c r="AE25" s="162">
        <f t="shared" si="18"/>
        <v>0</v>
      </c>
      <c r="AF25" s="162">
        <f t="shared" si="18"/>
        <v>0</v>
      </c>
      <c r="AG25" s="162">
        <f t="shared" si="18"/>
        <v>0</v>
      </c>
      <c r="AH25" s="162"/>
      <c r="AI25" s="162">
        <f>AI24/AI23</f>
        <v>0.04043545879</v>
      </c>
      <c r="AJ25" s="162"/>
      <c r="AK25" s="162"/>
      <c r="AL25" s="162"/>
      <c r="AM25" s="163"/>
    </row>
    <row r="26">
      <c r="A26" s="150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152"/>
      <c r="AE26" s="152"/>
      <c r="AF26" s="152"/>
      <c r="AG26" s="152"/>
      <c r="AH26" s="152"/>
      <c r="AI26" s="152"/>
      <c r="AJ26" s="152"/>
      <c r="AK26" s="152"/>
      <c r="AL26" s="152"/>
      <c r="AM26" s="152"/>
    </row>
    <row r="27">
      <c r="A27" s="153">
        <v>46032.0</v>
      </c>
      <c r="B27" s="154" t="s">
        <v>63</v>
      </c>
      <c r="C27" s="154">
        <f>'ОСНОВА'!C23</f>
        <v>29</v>
      </c>
      <c r="D27" s="154">
        <f>'ОСНОВА'!D23</f>
        <v>7</v>
      </c>
      <c r="E27" s="154">
        <f>'ОСНОВА'!E23</f>
        <v>159</v>
      </c>
      <c r="F27" s="154">
        <f>'ОСНОВА'!F23</f>
        <v>33</v>
      </c>
      <c r="G27" s="154">
        <f>'ОСНОВА'!G23</f>
        <v>14</v>
      </c>
      <c r="H27" s="154">
        <f>'ОСНОВА'!H23</f>
        <v>41</v>
      </c>
      <c r="I27" s="154">
        <f>'ОСНОВА'!I23</f>
        <v>25</v>
      </c>
      <c r="J27" s="154">
        <f>'ОСНОВА'!J23</f>
        <v>18</v>
      </c>
      <c r="K27" s="154">
        <f>'ОСНОВА'!K23</f>
        <v>16</v>
      </c>
      <c r="L27" s="154" t="str">
        <f>'ОСНОВА'!L23</f>
        <v/>
      </c>
      <c r="M27" s="154">
        <f>'ОСНОВА'!M23</f>
        <v>14</v>
      </c>
      <c r="N27" s="154">
        <f>'ОСНОВА'!N23</f>
        <v>9</v>
      </c>
      <c r="O27" s="154"/>
      <c r="P27" s="154"/>
      <c r="Q27" s="154">
        <f>'ОСНОВА'!Q23</f>
        <v>3</v>
      </c>
      <c r="R27" s="154">
        <f>'ОСНОВА'!R23</f>
        <v>10</v>
      </c>
      <c r="S27" s="154">
        <f>'ОСНОВА'!S23</f>
        <v>9</v>
      </c>
      <c r="T27" s="154" t="str">
        <f>'ОСНОВА'!T23</f>
        <v/>
      </c>
      <c r="U27" s="154">
        <f>'ОСНОВА'!U23</f>
        <v>23</v>
      </c>
      <c r="V27" s="154">
        <f>'ОСНОВА'!V23</f>
        <v>33</v>
      </c>
      <c r="W27" s="154">
        <f>'ОСНОВА'!W23</f>
        <v>5</v>
      </c>
      <c r="X27" s="154">
        <f>'ОСНОВА'!X23</f>
        <v>48</v>
      </c>
      <c r="Y27" s="154">
        <f>'ОСНОВА'!Y23</f>
        <v>40</v>
      </c>
      <c r="Z27" s="154">
        <f>'ОСНОВА'!Z23</f>
        <v>31</v>
      </c>
      <c r="AA27" s="154">
        <f>'ОСНОВА'!AA23</f>
        <v>3</v>
      </c>
      <c r="AB27" s="154">
        <f>'ОСНОВА'!AB23</f>
        <v>27</v>
      </c>
      <c r="AC27" s="154">
        <f>'ОСНОВА'!AC23</f>
        <v>11</v>
      </c>
      <c r="AD27" s="154">
        <f>'ОСНОВА'!AD23</f>
        <v>19</v>
      </c>
      <c r="AE27" s="154">
        <f>'ОСНОВА'!AE23</f>
        <v>22</v>
      </c>
      <c r="AF27" s="154">
        <f>'ОСНОВА'!AF23</f>
        <v>15</v>
      </c>
      <c r="AG27" s="154">
        <f>'ОСНОВА'!AG23</f>
        <v>6</v>
      </c>
      <c r="AH27" s="155" t="str">
        <f>'ОСНОВА'!AH53</f>
        <v/>
      </c>
      <c r="AI27" s="155">
        <f t="shared" ref="AI27:AI28" si="19">SUM(C27:AH27)</f>
        <v>670</v>
      </c>
      <c r="AJ27" s="155"/>
      <c r="AK27" s="155"/>
      <c r="AL27" s="155"/>
      <c r="AM27" s="156"/>
    </row>
    <row r="28">
      <c r="A28" s="157"/>
      <c r="B28" s="158" t="s">
        <v>64</v>
      </c>
      <c r="C28" s="158">
        <v>1.0</v>
      </c>
      <c r="D28" s="158">
        <v>0.0</v>
      </c>
      <c r="E28" s="158">
        <v>13.0</v>
      </c>
      <c r="F28" s="158">
        <v>4.0</v>
      </c>
      <c r="G28" s="158">
        <v>1.0</v>
      </c>
      <c r="H28" s="158">
        <v>4.0</v>
      </c>
      <c r="I28" s="158">
        <v>1.0</v>
      </c>
      <c r="J28" s="158">
        <v>0.0</v>
      </c>
      <c r="K28" s="158">
        <v>0.0</v>
      </c>
      <c r="L28" s="158"/>
      <c r="M28" s="158">
        <v>1.0</v>
      </c>
      <c r="N28" s="158">
        <v>0.0</v>
      </c>
      <c r="O28" s="158"/>
      <c r="P28" s="158"/>
      <c r="Q28" s="158">
        <v>0.0</v>
      </c>
      <c r="R28" s="158">
        <v>0.0</v>
      </c>
      <c r="S28" s="158">
        <v>0.0</v>
      </c>
      <c r="T28" s="158"/>
      <c r="U28" s="158">
        <v>2.0</v>
      </c>
      <c r="V28" s="158">
        <v>2.0</v>
      </c>
      <c r="W28" s="158">
        <v>0.0</v>
      </c>
      <c r="X28" s="158">
        <v>0.0</v>
      </c>
      <c r="Y28" s="158">
        <v>4.0</v>
      </c>
      <c r="Z28" s="158">
        <v>2.0</v>
      </c>
      <c r="AA28" s="158">
        <v>0.0</v>
      </c>
      <c r="AB28" s="158">
        <v>3.0</v>
      </c>
      <c r="AC28" s="158">
        <v>0.0</v>
      </c>
      <c r="AD28" s="158">
        <v>0.0</v>
      </c>
      <c r="AE28" s="158">
        <v>1.0</v>
      </c>
      <c r="AF28" s="158">
        <v>0.0</v>
      </c>
      <c r="AG28" s="158">
        <v>0.0</v>
      </c>
      <c r="AH28" s="152"/>
      <c r="AI28" s="155">
        <f t="shared" si="19"/>
        <v>39</v>
      </c>
      <c r="AJ28" s="152"/>
      <c r="AK28" s="152"/>
      <c r="AL28" s="152"/>
      <c r="AM28" s="159"/>
    </row>
    <row r="29">
      <c r="A29" s="160"/>
      <c r="B29" s="161" t="s">
        <v>65</v>
      </c>
      <c r="C29" s="162">
        <f t="shared" ref="C29:N29" si="20">C28/C27</f>
        <v>0.03448275862</v>
      </c>
      <c r="D29" s="162">
        <f t="shared" si="20"/>
        <v>0</v>
      </c>
      <c r="E29" s="162">
        <f t="shared" si="20"/>
        <v>0.08176100629</v>
      </c>
      <c r="F29" s="162">
        <f t="shared" si="20"/>
        <v>0.1212121212</v>
      </c>
      <c r="G29" s="162">
        <f t="shared" si="20"/>
        <v>0.07142857143</v>
      </c>
      <c r="H29" s="162">
        <f t="shared" si="20"/>
        <v>0.09756097561</v>
      </c>
      <c r="I29" s="162">
        <f t="shared" si="20"/>
        <v>0.04</v>
      </c>
      <c r="J29" s="162">
        <f t="shared" si="20"/>
        <v>0</v>
      </c>
      <c r="K29" s="162">
        <f t="shared" si="20"/>
        <v>0</v>
      </c>
      <c r="L29" s="162" t="str">
        <f t="shared" si="20"/>
        <v>#DIV/0!</v>
      </c>
      <c r="M29" s="162">
        <f t="shared" si="20"/>
        <v>0.07142857143</v>
      </c>
      <c r="N29" s="162">
        <f t="shared" si="20"/>
        <v>0</v>
      </c>
      <c r="O29" s="162"/>
      <c r="P29" s="162"/>
      <c r="Q29" s="162">
        <f t="shared" ref="Q29:AG29" si="21">Q28/Q27</f>
        <v>0</v>
      </c>
      <c r="R29" s="162">
        <f t="shared" si="21"/>
        <v>0</v>
      </c>
      <c r="S29" s="162">
        <f t="shared" si="21"/>
        <v>0</v>
      </c>
      <c r="T29" s="162" t="str">
        <f t="shared" si="21"/>
        <v>#DIV/0!</v>
      </c>
      <c r="U29" s="162">
        <f t="shared" si="21"/>
        <v>0.08695652174</v>
      </c>
      <c r="V29" s="162">
        <f t="shared" si="21"/>
        <v>0.06060606061</v>
      </c>
      <c r="W29" s="162">
        <f t="shared" si="21"/>
        <v>0</v>
      </c>
      <c r="X29" s="162">
        <f t="shared" si="21"/>
        <v>0</v>
      </c>
      <c r="Y29" s="162">
        <f t="shared" si="21"/>
        <v>0.1</v>
      </c>
      <c r="Z29" s="162">
        <f t="shared" si="21"/>
        <v>0.06451612903</v>
      </c>
      <c r="AA29" s="162">
        <f t="shared" si="21"/>
        <v>0</v>
      </c>
      <c r="AB29" s="162">
        <f t="shared" si="21"/>
        <v>0.1111111111</v>
      </c>
      <c r="AC29" s="162">
        <f t="shared" si="21"/>
        <v>0</v>
      </c>
      <c r="AD29" s="162">
        <f t="shared" si="21"/>
        <v>0</v>
      </c>
      <c r="AE29" s="162">
        <f t="shared" si="21"/>
        <v>0.04545454545</v>
      </c>
      <c r="AF29" s="162">
        <f t="shared" si="21"/>
        <v>0</v>
      </c>
      <c r="AG29" s="162">
        <f t="shared" si="21"/>
        <v>0</v>
      </c>
      <c r="AH29" s="162"/>
      <c r="AI29" s="162">
        <f>AI28/AI27</f>
        <v>0.05820895522</v>
      </c>
      <c r="AJ29" s="162"/>
      <c r="AK29" s="162"/>
      <c r="AL29" s="162"/>
      <c r="AM29" s="163"/>
    </row>
    <row r="30">
      <c r="A30" s="150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  <c r="AD30" s="152"/>
      <c r="AE30" s="152"/>
      <c r="AF30" s="152"/>
      <c r="AG30" s="152"/>
      <c r="AH30" s="152"/>
      <c r="AI30" s="152"/>
      <c r="AJ30" s="152"/>
      <c r="AK30" s="152"/>
      <c r="AL30" s="152"/>
      <c r="AM30" s="152"/>
    </row>
    <row r="31">
      <c r="A31" s="153">
        <v>46039.0</v>
      </c>
      <c r="B31" s="154" t="s">
        <v>63</v>
      </c>
      <c r="C31" s="154">
        <f>'ОСНОВА'!C22</f>
        <v>29</v>
      </c>
      <c r="D31" s="154">
        <f>'ОСНОВА'!D22</f>
        <v>13</v>
      </c>
      <c r="E31" s="154">
        <f>'ОСНОВА'!E22</f>
        <v>138</v>
      </c>
      <c r="F31" s="154">
        <f>'ОСНОВА'!F22</f>
        <v>33</v>
      </c>
      <c r="G31" s="154">
        <f>'ОСНОВА'!G22</f>
        <v>11</v>
      </c>
      <c r="H31" s="154">
        <f>'ОСНОВА'!H22</f>
        <v>49</v>
      </c>
      <c r="I31" s="154">
        <f>'ОСНОВА'!I22</f>
        <v>29</v>
      </c>
      <c r="J31" s="154">
        <f>'ОСНОВА'!J22</f>
        <v>19</v>
      </c>
      <c r="K31" s="154">
        <f>'ОСНОВА'!K22</f>
        <v>20</v>
      </c>
      <c r="L31" s="154">
        <f>'ОСНОВА'!L22</f>
        <v>20</v>
      </c>
      <c r="M31" s="154">
        <f>'ОСНОВА'!M22</f>
        <v>10</v>
      </c>
      <c r="N31" s="154">
        <f>'ОСНОВА'!N22</f>
        <v>10</v>
      </c>
      <c r="O31" s="154"/>
      <c r="P31" s="154"/>
      <c r="Q31" s="154">
        <f>'ОСНОВА'!Q22</f>
        <v>3</v>
      </c>
      <c r="R31" s="154">
        <f>'ОСНОВА'!R22</f>
        <v>9</v>
      </c>
      <c r="S31" s="154">
        <f>'ОСНОВА'!S22</f>
        <v>8</v>
      </c>
      <c r="T31" s="154">
        <f>'ОСНОВА'!T22</f>
        <v>10</v>
      </c>
      <c r="U31" s="154">
        <f>'ОСНОВА'!U22</f>
        <v>23</v>
      </c>
      <c r="V31" s="154">
        <f>'ОСНОВА'!V22</f>
        <v>31</v>
      </c>
      <c r="W31" s="154">
        <f>'ОСНОВА'!W22</f>
        <v>12</v>
      </c>
      <c r="X31" s="154">
        <f>'ОСНОВА'!X22</f>
        <v>54</v>
      </c>
      <c r="Y31" s="154">
        <f>'ОСНОВА'!Y22</f>
        <v>14</v>
      </c>
      <c r="Z31" s="154">
        <f>'ОСНОВА'!Z22</f>
        <v>25</v>
      </c>
      <c r="AA31" s="154">
        <f>'ОСНОВА'!AA22</f>
        <v>4</v>
      </c>
      <c r="AB31" s="154">
        <f>'ОСНОВА'!AB22</f>
        <v>17</v>
      </c>
      <c r="AC31" s="154">
        <f>'ОСНОВА'!AC22</f>
        <v>12</v>
      </c>
      <c r="AD31" s="154">
        <f>'ОСНОВА'!AD22</f>
        <v>20</v>
      </c>
      <c r="AE31" s="154">
        <f>'ОСНОВА'!AE22</f>
        <v>16</v>
      </c>
      <c r="AF31" s="154">
        <f>'ОСНОВА'!AF22</f>
        <v>21</v>
      </c>
      <c r="AG31" s="154">
        <f>'ОСНОВА'!AG22</f>
        <v>5</v>
      </c>
      <c r="AH31" s="155" t="str">
        <f>'ОСНОВА'!AH57</f>
        <v/>
      </c>
      <c r="AI31" s="155">
        <f t="shared" ref="AI31:AI32" si="22">SUM(C31:AH31)</f>
        <v>665</v>
      </c>
      <c r="AJ31" s="155"/>
      <c r="AK31" s="155"/>
      <c r="AL31" s="155"/>
      <c r="AM31" s="156"/>
    </row>
    <row r="32">
      <c r="A32" s="157"/>
      <c r="B32" s="158" t="s">
        <v>64</v>
      </c>
      <c r="C32" s="158">
        <v>1.0</v>
      </c>
      <c r="D32" s="158">
        <v>1.0</v>
      </c>
      <c r="E32" s="158">
        <v>9.0</v>
      </c>
      <c r="F32" s="158">
        <v>0.0</v>
      </c>
      <c r="G32" s="158">
        <v>0.0</v>
      </c>
      <c r="H32" s="158">
        <v>4.0</v>
      </c>
      <c r="I32" s="158">
        <v>1.0</v>
      </c>
      <c r="J32" s="158">
        <v>1.0</v>
      </c>
      <c r="K32" s="158">
        <v>1.0</v>
      </c>
      <c r="L32" s="158">
        <v>1.0</v>
      </c>
      <c r="M32" s="158">
        <v>0.0</v>
      </c>
      <c r="N32" s="158">
        <v>0.0</v>
      </c>
      <c r="O32" s="158"/>
      <c r="P32" s="158"/>
      <c r="Q32" s="158">
        <v>0.0</v>
      </c>
      <c r="R32" s="158">
        <v>2.0</v>
      </c>
      <c r="S32" s="158">
        <v>0.0</v>
      </c>
      <c r="T32" s="158">
        <v>0.0</v>
      </c>
      <c r="U32" s="158">
        <v>1.0</v>
      </c>
      <c r="V32" s="158">
        <v>0.0</v>
      </c>
      <c r="W32" s="158">
        <v>0.0</v>
      </c>
      <c r="X32" s="158">
        <v>1.0</v>
      </c>
      <c r="Y32" s="158">
        <v>0.0</v>
      </c>
      <c r="Z32" s="158">
        <v>1.0</v>
      </c>
      <c r="AA32" s="158">
        <v>0.0</v>
      </c>
      <c r="AB32" s="158">
        <v>0.0</v>
      </c>
      <c r="AC32" s="158">
        <v>0.0</v>
      </c>
      <c r="AD32" s="158">
        <v>1.0</v>
      </c>
      <c r="AE32" s="158">
        <v>0.0</v>
      </c>
      <c r="AF32" s="158">
        <v>1.0</v>
      </c>
      <c r="AG32" s="158">
        <v>0.0</v>
      </c>
      <c r="AH32" s="152"/>
      <c r="AI32" s="155">
        <f t="shared" si="22"/>
        <v>26</v>
      </c>
      <c r="AJ32" s="152"/>
      <c r="AK32" s="152"/>
      <c r="AL32" s="152"/>
      <c r="AM32" s="159"/>
    </row>
    <row r="33">
      <c r="A33" s="160"/>
      <c r="B33" s="161" t="s">
        <v>65</v>
      </c>
      <c r="C33" s="162">
        <f t="shared" ref="C33:N33" si="23">C32/C31</f>
        <v>0.03448275862</v>
      </c>
      <c r="D33" s="162">
        <f t="shared" si="23"/>
        <v>0.07692307692</v>
      </c>
      <c r="E33" s="162">
        <f t="shared" si="23"/>
        <v>0.0652173913</v>
      </c>
      <c r="F33" s="162">
        <f t="shared" si="23"/>
        <v>0</v>
      </c>
      <c r="G33" s="162">
        <f t="shared" si="23"/>
        <v>0</v>
      </c>
      <c r="H33" s="162">
        <f t="shared" si="23"/>
        <v>0.08163265306</v>
      </c>
      <c r="I33" s="162">
        <f t="shared" si="23"/>
        <v>0.03448275862</v>
      </c>
      <c r="J33" s="162">
        <f t="shared" si="23"/>
        <v>0.05263157895</v>
      </c>
      <c r="K33" s="162">
        <f t="shared" si="23"/>
        <v>0.05</v>
      </c>
      <c r="L33" s="162">
        <f t="shared" si="23"/>
        <v>0.05</v>
      </c>
      <c r="M33" s="162">
        <f t="shared" si="23"/>
        <v>0</v>
      </c>
      <c r="N33" s="162">
        <f t="shared" si="23"/>
        <v>0</v>
      </c>
      <c r="O33" s="162"/>
      <c r="P33" s="162"/>
      <c r="Q33" s="162">
        <f t="shared" ref="Q33:AG33" si="24">Q32/Q31</f>
        <v>0</v>
      </c>
      <c r="R33" s="162">
        <f t="shared" si="24"/>
        <v>0.2222222222</v>
      </c>
      <c r="S33" s="162">
        <f t="shared" si="24"/>
        <v>0</v>
      </c>
      <c r="T33" s="162">
        <f t="shared" si="24"/>
        <v>0</v>
      </c>
      <c r="U33" s="162">
        <f t="shared" si="24"/>
        <v>0.04347826087</v>
      </c>
      <c r="V33" s="162">
        <f t="shared" si="24"/>
        <v>0</v>
      </c>
      <c r="W33" s="162">
        <f t="shared" si="24"/>
        <v>0</v>
      </c>
      <c r="X33" s="162">
        <f t="shared" si="24"/>
        <v>0.01851851852</v>
      </c>
      <c r="Y33" s="162">
        <f t="shared" si="24"/>
        <v>0</v>
      </c>
      <c r="Z33" s="162">
        <f t="shared" si="24"/>
        <v>0.04</v>
      </c>
      <c r="AA33" s="162">
        <f t="shared" si="24"/>
        <v>0</v>
      </c>
      <c r="AB33" s="162">
        <f t="shared" si="24"/>
        <v>0</v>
      </c>
      <c r="AC33" s="162">
        <f t="shared" si="24"/>
        <v>0</v>
      </c>
      <c r="AD33" s="162">
        <f t="shared" si="24"/>
        <v>0.05</v>
      </c>
      <c r="AE33" s="162">
        <f t="shared" si="24"/>
        <v>0</v>
      </c>
      <c r="AF33" s="162">
        <f t="shared" si="24"/>
        <v>0.04761904762</v>
      </c>
      <c r="AG33" s="162">
        <f t="shared" si="24"/>
        <v>0</v>
      </c>
      <c r="AH33" s="162"/>
      <c r="AI33" s="162">
        <f>AI32/AI31</f>
        <v>0.03909774436</v>
      </c>
      <c r="AJ33" s="162"/>
      <c r="AK33" s="162"/>
      <c r="AL33" s="162"/>
      <c r="AM33" s="163"/>
    </row>
    <row r="34">
      <c r="A34" s="150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  <c r="AE34" s="152"/>
      <c r="AF34" s="152"/>
      <c r="AG34" s="152"/>
      <c r="AH34" s="152"/>
      <c r="AI34" s="152"/>
      <c r="AJ34" s="152"/>
      <c r="AK34" s="152"/>
      <c r="AL34" s="152"/>
      <c r="AM34" s="152"/>
    </row>
    <row r="35">
      <c r="A35" s="153">
        <v>46046.0</v>
      </c>
      <c r="B35" s="154" t="s">
        <v>63</v>
      </c>
      <c r="C35" s="154">
        <f>'ОСНОВА'!C21</f>
        <v>42</v>
      </c>
      <c r="D35" s="154">
        <f>'ОСНОВА'!D21</f>
        <v>8</v>
      </c>
      <c r="E35" s="154">
        <f>'ОСНОВА'!E21</f>
        <v>96</v>
      </c>
      <c r="F35" s="154">
        <f>'ОСНОВА'!F21</f>
        <v>20</v>
      </c>
      <c r="G35" s="154">
        <f>'ОСНОВА'!G21</f>
        <v>10</v>
      </c>
      <c r="H35" s="154">
        <f>'ОСНОВА'!H21</f>
        <v>21</v>
      </c>
      <c r="I35" s="154">
        <f>'ОСНОВА'!I21</f>
        <v>27</v>
      </c>
      <c r="J35" s="154">
        <f>'ОСНОВА'!J21</f>
        <v>17</v>
      </c>
      <c r="K35" s="154">
        <f>'ОСНОВА'!K21</f>
        <v>19</v>
      </c>
      <c r="L35" s="154">
        <f>'ОСНОВА'!L21</f>
        <v>5</v>
      </c>
      <c r="M35" s="154">
        <f>'ОСНОВА'!M21</f>
        <v>8</v>
      </c>
      <c r="N35" s="154">
        <f>'ОСНОВА'!N21</f>
        <v>6</v>
      </c>
      <c r="O35" s="154"/>
      <c r="P35" s="154"/>
      <c r="Q35" s="154">
        <f>'ОСНОВА'!Q21</f>
        <v>6</v>
      </c>
      <c r="R35" s="154">
        <f>'ОСНОВА'!R21</f>
        <v>8</v>
      </c>
      <c r="S35" s="154">
        <f>'ОСНОВА'!S21</f>
        <v>8</v>
      </c>
      <c r="T35" s="154">
        <f>'ОСНОВА'!T21</f>
        <v>9</v>
      </c>
      <c r="U35" s="154">
        <f>'ОСНОВА'!U21</f>
        <v>22</v>
      </c>
      <c r="V35" s="154">
        <f>'ОСНОВА'!V21</f>
        <v>27</v>
      </c>
      <c r="W35" s="154">
        <f>'ОСНОВА'!W21</f>
        <v>7</v>
      </c>
      <c r="X35" s="154">
        <f>'ОСНОВА'!X21</f>
        <v>61</v>
      </c>
      <c r="Y35" s="154">
        <f>'ОСНОВА'!Y21</f>
        <v>12</v>
      </c>
      <c r="Z35" s="154">
        <f>'ОСНОВА'!Z21</f>
        <v>17</v>
      </c>
      <c r="AA35" s="154">
        <f>'ОСНОВА'!AA21</f>
        <v>4</v>
      </c>
      <c r="AB35" s="154">
        <f>'ОСНОВА'!AB21</f>
        <v>17</v>
      </c>
      <c r="AC35" s="154">
        <f>'ОСНОВА'!AC21</f>
        <v>16</v>
      </c>
      <c r="AD35" s="154">
        <f>'ОСНОВА'!AD21</f>
        <v>18</v>
      </c>
      <c r="AE35" s="154">
        <f>'ОСНОВА'!AE21</f>
        <v>20</v>
      </c>
      <c r="AF35" s="154">
        <f>'ОСНОВА'!AF21</f>
        <v>24</v>
      </c>
      <c r="AG35" s="154">
        <f>'ОСНОВА'!AG21</f>
        <v>11</v>
      </c>
      <c r="AH35" s="155" t="str">
        <f>'ОСНОВА'!AH61</f>
        <v/>
      </c>
      <c r="AI35" s="155">
        <f t="shared" ref="AI35:AI36" si="25">SUM(C35:AH35)</f>
        <v>566</v>
      </c>
      <c r="AJ35" s="155"/>
      <c r="AK35" s="155"/>
      <c r="AL35" s="155"/>
      <c r="AM35" s="156"/>
    </row>
    <row r="36">
      <c r="A36" s="157"/>
      <c r="B36" s="158" t="s">
        <v>64</v>
      </c>
      <c r="C36" s="158">
        <v>1.0</v>
      </c>
      <c r="D36" s="158">
        <v>1.0</v>
      </c>
      <c r="E36" s="158">
        <v>4.0</v>
      </c>
      <c r="F36" s="158">
        <v>1.0</v>
      </c>
      <c r="G36" s="158">
        <v>0.0</v>
      </c>
      <c r="H36" s="158">
        <v>2.0</v>
      </c>
      <c r="I36" s="158">
        <v>0.0</v>
      </c>
      <c r="J36" s="158">
        <v>0.0</v>
      </c>
      <c r="K36" s="158">
        <v>0.0</v>
      </c>
      <c r="L36" s="158">
        <v>2.0</v>
      </c>
      <c r="M36" s="158">
        <v>0.0</v>
      </c>
      <c r="N36" s="158">
        <v>0.0</v>
      </c>
      <c r="O36" s="158"/>
      <c r="P36" s="158"/>
      <c r="Q36" s="158">
        <v>1.0</v>
      </c>
      <c r="R36" s="158">
        <v>0.0</v>
      </c>
      <c r="S36" s="158">
        <v>0.0</v>
      </c>
      <c r="T36" s="158">
        <v>0.0</v>
      </c>
      <c r="U36" s="158">
        <v>2.0</v>
      </c>
      <c r="V36" s="158">
        <v>1.0</v>
      </c>
      <c r="W36" s="158">
        <v>0.0</v>
      </c>
      <c r="X36" s="158">
        <v>1.0</v>
      </c>
      <c r="Y36" s="158">
        <v>0.0</v>
      </c>
      <c r="Z36" s="158">
        <v>0.0</v>
      </c>
      <c r="AA36" s="158">
        <v>0.0</v>
      </c>
      <c r="AB36" s="158">
        <v>0.0</v>
      </c>
      <c r="AC36" s="158">
        <v>0.0</v>
      </c>
      <c r="AD36" s="158">
        <v>2.0</v>
      </c>
      <c r="AE36" s="158">
        <v>0.0</v>
      </c>
      <c r="AF36" s="158">
        <v>1.0</v>
      </c>
      <c r="AG36" s="158">
        <v>1.0</v>
      </c>
      <c r="AH36" s="152"/>
      <c r="AI36" s="155">
        <f t="shared" si="25"/>
        <v>20</v>
      </c>
      <c r="AJ36" s="152"/>
      <c r="AK36" s="152"/>
      <c r="AL36" s="152"/>
      <c r="AM36" s="159"/>
    </row>
    <row r="37">
      <c r="A37" s="160"/>
      <c r="B37" s="161" t="s">
        <v>65</v>
      </c>
      <c r="C37" s="162">
        <f t="shared" ref="C37:N37" si="26">C36/C35</f>
        <v>0.02380952381</v>
      </c>
      <c r="D37" s="162">
        <f t="shared" si="26"/>
        <v>0.125</v>
      </c>
      <c r="E37" s="162">
        <f t="shared" si="26"/>
        <v>0.04166666667</v>
      </c>
      <c r="F37" s="162">
        <f t="shared" si="26"/>
        <v>0.05</v>
      </c>
      <c r="G37" s="162">
        <f t="shared" si="26"/>
        <v>0</v>
      </c>
      <c r="H37" s="162">
        <f t="shared" si="26"/>
        <v>0.09523809524</v>
      </c>
      <c r="I37" s="162">
        <f t="shared" si="26"/>
        <v>0</v>
      </c>
      <c r="J37" s="162">
        <f t="shared" si="26"/>
        <v>0</v>
      </c>
      <c r="K37" s="162">
        <f t="shared" si="26"/>
        <v>0</v>
      </c>
      <c r="L37" s="162">
        <f t="shared" si="26"/>
        <v>0.4</v>
      </c>
      <c r="M37" s="162">
        <f t="shared" si="26"/>
        <v>0</v>
      </c>
      <c r="N37" s="162">
        <f t="shared" si="26"/>
        <v>0</v>
      </c>
      <c r="O37" s="162"/>
      <c r="P37" s="162"/>
      <c r="Q37" s="162">
        <f t="shared" ref="Q37:AG37" si="27">Q36/Q35</f>
        <v>0.1666666667</v>
      </c>
      <c r="R37" s="162">
        <f t="shared" si="27"/>
        <v>0</v>
      </c>
      <c r="S37" s="162">
        <f t="shared" si="27"/>
        <v>0</v>
      </c>
      <c r="T37" s="162">
        <f t="shared" si="27"/>
        <v>0</v>
      </c>
      <c r="U37" s="162">
        <f t="shared" si="27"/>
        <v>0.09090909091</v>
      </c>
      <c r="V37" s="162">
        <f t="shared" si="27"/>
        <v>0.03703703704</v>
      </c>
      <c r="W37" s="162">
        <f t="shared" si="27"/>
        <v>0</v>
      </c>
      <c r="X37" s="162">
        <f t="shared" si="27"/>
        <v>0.01639344262</v>
      </c>
      <c r="Y37" s="162">
        <f t="shared" si="27"/>
        <v>0</v>
      </c>
      <c r="Z37" s="162">
        <f t="shared" si="27"/>
        <v>0</v>
      </c>
      <c r="AA37" s="162">
        <f t="shared" si="27"/>
        <v>0</v>
      </c>
      <c r="AB37" s="162">
        <f t="shared" si="27"/>
        <v>0</v>
      </c>
      <c r="AC37" s="162">
        <f t="shared" si="27"/>
        <v>0</v>
      </c>
      <c r="AD37" s="162">
        <f t="shared" si="27"/>
        <v>0.1111111111</v>
      </c>
      <c r="AE37" s="162">
        <f t="shared" si="27"/>
        <v>0</v>
      </c>
      <c r="AF37" s="162">
        <f t="shared" si="27"/>
        <v>0.04166666667</v>
      </c>
      <c r="AG37" s="162">
        <f t="shared" si="27"/>
        <v>0.09090909091</v>
      </c>
      <c r="AH37" s="162"/>
      <c r="AI37" s="162">
        <f>AI36/AI35</f>
        <v>0.03533568905</v>
      </c>
      <c r="AJ37" s="162"/>
      <c r="AK37" s="162"/>
      <c r="AL37" s="162"/>
      <c r="AM37" s="163"/>
    </row>
    <row r="38">
      <c r="A38" s="152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  <c r="AA38" s="152"/>
      <c r="AB38" s="152"/>
      <c r="AC38" s="152"/>
      <c r="AD38" s="152"/>
      <c r="AE38" s="152"/>
      <c r="AF38" s="152"/>
      <c r="AG38" s="152"/>
      <c r="AH38" s="152"/>
      <c r="AI38" s="152"/>
      <c r="AJ38" s="152"/>
      <c r="AK38" s="152"/>
      <c r="AL38" s="152"/>
      <c r="AM38" s="152"/>
    </row>
    <row r="39">
      <c r="A39" s="153">
        <f>'ОСНОВА'!A20</f>
        <v>46053</v>
      </c>
      <c r="B39" s="154" t="s">
        <v>63</v>
      </c>
      <c r="C39" s="154">
        <f>'ОСНОВА'!C20</f>
        <v>34</v>
      </c>
      <c r="D39" s="154">
        <f>'ОСНОВА'!D20</f>
        <v>10</v>
      </c>
      <c r="E39" s="154">
        <f>'ОСНОВА'!E20</f>
        <v>105</v>
      </c>
      <c r="F39" s="154">
        <f>'ОСНОВА'!F20</f>
        <v>13</v>
      </c>
      <c r="G39" s="154">
        <f>'ОСНОВА'!G20</f>
        <v>8</v>
      </c>
      <c r="H39" s="154">
        <f>'ОСНОВА'!H20</f>
        <v>26</v>
      </c>
      <c r="I39" s="154">
        <f>'ОСНОВА'!I20</f>
        <v>17</v>
      </c>
      <c r="J39" s="154">
        <f>'ОСНОВА'!J20</f>
        <v>9</v>
      </c>
      <c r="K39" s="154">
        <f>'ОСНОВА'!K20</f>
        <v>16</v>
      </c>
      <c r="L39" s="154">
        <f>'ОСНОВА'!L20</f>
        <v>4</v>
      </c>
      <c r="M39" s="154">
        <f>'ОСНОВА'!M20</f>
        <v>9</v>
      </c>
      <c r="N39" s="154">
        <f>'ОСНОВА'!N20</f>
        <v>11</v>
      </c>
      <c r="O39" s="154">
        <f>'ОСНОВА'!O20</f>
        <v>11</v>
      </c>
      <c r="P39" s="154" t="str">
        <f>'ОСНОВА'!P20</f>
        <v/>
      </c>
      <c r="Q39" s="154">
        <f>'ОСНОВА'!Q20</f>
        <v>5</v>
      </c>
      <c r="R39" s="154">
        <f>'ОСНОВА'!R20</f>
        <v>7</v>
      </c>
      <c r="S39" s="154">
        <f>'ОСНОВА'!S20</f>
        <v>10</v>
      </c>
      <c r="T39" s="154">
        <f>'ОСНОВА'!T20</f>
        <v>9</v>
      </c>
      <c r="U39" s="154">
        <f>'ОСНОВА'!U20</f>
        <v>18</v>
      </c>
      <c r="V39" s="154">
        <f>'ОСНОВА'!V20</f>
        <v>30</v>
      </c>
      <c r="W39" s="154">
        <f>'ОСНОВА'!W20</f>
        <v>2</v>
      </c>
      <c r="X39" s="154">
        <f>'ОСНОВА'!X20</f>
        <v>48</v>
      </c>
      <c r="Y39" s="154">
        <f>'ОСНОВА'!Y20</f>
        <v>19</v>
      </c>
      <c r="Z39" s="154">
        <f>'ОСНОВА'!Z20</f>
        <v>32</v>
      </c>
      <c r="AA39" s="154">
        <f>'ОСНОВА'!AA20</f>
        <v>3</v>
      </c>
      <c r="AB39" s="154">
        <f>'ОСНОВА'!AB20</f>
        <v>14</v>
      </c>
      <c r="AC39" s="154">
        <f>'ОСНОВА'!AC20</f>
        <v>6</v>
      </c>
      <c r="AD39" s="154">
        <f>'ОСНОВА'!AD20</f>
        <v>23</v>
      </c>
      <c r="AE39" s="154">
        <f>'ОСНОВА'!AE20</f>
        <v>15</v>
      </c>
      <c r="AF39" s="154">
        <f>'ОСНОВА'!AF20</f>
        <v>27</v>
      </c>
      <c r="AG39" s="154">
        <f>'ОСНОВА'!AG20</f>
        <v>14</v>
      </c>
      <c r="AH39" s="154" t="str">
        <f>'ОСНОВА'!AH20</f>
        <v/>
      </c>
      <c r="AI39" s="155">
        <f t="shared" ref="AI39:AI40" si="28">SUM(C39:AH39)</f>
        <v>555</v>
      </c>
      <c r="AJ39" s="155"/>
      <c r="AK39" s="155"/>
      <c r="AL39" s="155"/>
      <c r="AM39" s="156"/>
    </row>
    <row r="40">
      <c r="A40" s="157"/>
      <c r="B40" s="158" t="s">
        <v>64</v>
      </c>
      <c r="C40" s="158">
        <v>0.0</v>
      </c>
      <c r="D40" s="158">
        <v>0.0</v>
      </c>
      <c r="E40" s="158">
        <v>3.0</v>
      </c>
      <c r="F40" s="158">
        <v>0.0</v>
      </c>
      <c r="G40" s="158">
        <v>1.0</v>
      </c>
      <c r="H40" s="158">
        <v>0.0</v>
      </c>
      <c r="I40" s="158">
        <v>1.0</v>
      </c>
      <c r="J40" s="158"/>
      <c r="K40" s="158">
        <v>0.0</v>
      </c>
      <c r="L40" s="158">
        <v>0.0</v>
      </c>
      <c r="M40" s="158">
        <v>0.0</v>
      </c>
      <c r="N40" s="158">
        <v>0.0</v>
      </c>
      <c r="O40" s="158">
        <v>6.0</v>
      </c>
      <c r="P40" s="158"/>
      <c r="Q40" s="158">
        <v>0.0</v>
      </c>
      <c r="R40" s="158">
        <v>0.0</v>
      </c>
      <c r="S40" s="158"/>
      <c r="T40" s="158">
        <v>0.0</v>
      </c>
      <c r="U40" s="158">
        <v>0.0</v>
      </c>
      <c r="V40" s="158">
        <v>0.0</v>
      </c>
      <c r="W40" s="158">
        <v>0.0</v>
      </c>
      <c r="X40" s="158"/>
      <c r="Y40" s="158">
        <v>1.0</v>
      </c>
      <c r="Z40" s="158">
        <v>3.0</v>
      </c>
      <c r="AA40" s="158">
        <v>0.0</v>
      </c>
      <c r="AB40" s="158">
        <v>0.0</v>
      </c>
      <c r="AC40" s="158">
        <v>0.0</v>
      </c>
      <c r="AD40" s="158">
        <v>2.0</v>
      </c>
      <c r="AE40" s="158">
        <v>0.0</v>
      </c>
      <c r="AF40" s="158">
        <v>0.0</v>
      </c>
      <c r="AG40" s="158">
        <v>1.0</v>
      </c>
      <c r="AH40" s="152"/>
      <c r="AI40" s="155">
        <f t="shared" si="28"/>
        <v>18</v>
      </c>
      <c r="AJ40" s="152"/>
      <c r="AK40" s="152"/>
      <c r="AL40" s="152"/>
      <c r="AM40" s="159"/>
    </row>
    <row r="41">
      <c r="A41" s="160"/>
      <c r="B41" s="161" t="s">
        <v>65</v>
      </c>
      <c r="C41" s="162">
        <f t="shared" ref="C41:AG41" si="29">C40/C39</f>
        <v>0</v>
      </c>
      <c r="D41" s="162">
        <f t="shared" si="29"/>
        <v>0</v>
      </c>
      <c r="E41" s="162">
        <f t="shared" si="29"/>
        <v>0.02857142857</v>
      </c>
      <c r="F41" s="162">
        <f t="shared" si="29"/>
        <v>0</v>
      </c>
      <c r="G41" s="162">
        <f t="shared" si="29"/>
        <v>0.125</v>
      </c>
      <c r="H41" s="162">
        <f t="shared" si="29"/>
        <v>0</v>
      </c>
      <c r="I41" s="162">
        <f t="shared" si="29"/>
        <v>0.05882352941</v>
      </c>
      <c r="J41" s="162">
        <f t="shared" si="29"/>
        <v>0</v>
      </c>
      <c r="K41" s="162">
        <f t="shared" si="29"/>
        <v>0</v>
      </c>
      <c r="L41" s="162">
        <f t="shared" si="29"/>
        <v>0</v>
      </c>
      <c r="M41" s="162">
        <f t="shared" si="29"/>
        <v>0</v>
      </c>
      <c r="N41" s="162">
        <f t="shared" si="29"/>
        <v>0</v>
      </c>
      <c r="O41" s="162">
        <f t="shared" si="29"/>
        <v>0.5454545455</v>
      </c>
      <c r="P41" s="162" t="str">
        <f t="shared" si="29"/>
        <v>#DIV/0!</v>
      </c>
      <c r="Q41" s="162">
        <f t="shared" si="29"/>
        <v>0</v>
      </c>
      <c r="R41" s="162">
        <f t="shared" si="29"/>
        <v>0</v>
      </c>
      <c r="S41" s="162">
        <f t="shared" si="29"/>
        <v>0</v>
      </c>
      <c r="T41" s="162">
        <f t="shared" si="29"/>
        <v>0</v>
      </c>
      <c r="U41" s="162">
        <f t="shared" si="29"/>
        <v>0</v>
      </c>
      <c r="V41" s="162">
        <f t="shared" si="29"/>
        <v>0</v>
      </c>
      <c r="W41" s="162">
        <f t="shared" si="29"/>
        <v>0</v>
      </c>
      <c r="X41" s="162">
        <f t="shared" si="29"/>
        <v>0</v>
      </c>
      <c r="Y41" s="162">
        <f t="shared" si="29"/>
        <v>0.05263157895</v>
      </c>
      <c r="Z41" s="162">
        <f t="shared" si="29"/>
        <v>0.09375</v>
      </c>
      <c r="AA41" s="162">
        <f t="shared" si="29"/>
        <v>0</v>
      </c>
      <c r="AB41" s="162">
        <f t="shared" si="29"/>
        <v>0</v>
      </c>
      <c r="AC41" s="162">
        <f t="shared" si="29"/>
        <v>0</v>
      </c>
      <c r="AD41" s="162">
        <f t="shared" si="29"/>
        <v>0.08695652174</v>
      </c>
      <c r="AE41" s="162">
        <f t="shared" si="29"/>
        <v>0</v>
      </c>
      <c r="AF41" s="162">
        <f t="shared" si="29"/>
        <v>0</v>
      </c>
      <c r="AG41" s="162">
        <f t="shared" si="29"/>
        <v>0.07142857143</v>
      </c>
      <c r="AH41" s="162"/>
      <c r="AI41" s="162">
        <f>AI40/AI39</f>
        <v>0.03243243243</v>
      </c>
      <c r="AJ41" s="162"/>
      <c r="AK41" s="162"/>
      <c r="AL41" s="162"/>
      <c r="AM41" s="163"/>
    </row>
    <row r="42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  <c r="AA42" s="152"/>
      <c r="AB42" s="152"/>
      <c r="AC42" s="152"/>
      <c r="AD42" s="152"/>
      <c r="AE42" s="152"/>
      <c r="AF42" s="152"/>
      <c r="AG42" s="152"/>
      <c r="AH42" s="152"/>
      <c r="AI42" s="152"/>
      <c r="AJ42" s="152"/>
      <c r="AK42" s="152"/>
      <c r="AL42" s="152"/>
      <c r="AM42" s="152"/>
    </row>
    <row r="43">
      <c r="A43" s="153">
        <f>'ОСНОВА'!A19</f>
        <v>46060</v>
      </c>
      <c r="B43" s="154" t="s">
        <v>63</v>
      </c>
      <c r="C43" s="154">
        <f>'ОСНОВА'!C19</f>
        <v>29</v>
      </c>
      <c r="D43" s="154">
        <f>'ОСНОВА'!D19</f>
        <v>7</v>
      </c>
      <c r="E43" s="154">
        <f>'ОСНОВА'!E19</f>
        <v>787</v>
      </c>
      <c r="F43" s="154">
        <f>'ОСНОВА'!F19</f>
        <v>12</v>
      </c>
      <c r="G43" s="154">
        <f>'ОСНОВА'!G19</f>
        <v>9</v>
      </c>
      <c r="H43" s="154">
        <f>'ОСНОВА'!H19</f>
        <v>19</v>
      </c>
      <c r="I43" s="154">
        <f>'ОСНОВА'!I19</f>
        <v>23</v>
      </c>
      <c r="J43" s="154">
        <f>'ОСНОВА'!J19</f>
        <v>17</v>
      </c>
      <c r="K43" s="154">
        <f>'ОСНОВА'!K19</f>
        <v>8</v>
      </c>
      <c r="L43" s="154">
        <v>2.0</v>
      </c>
      <c r="M43" s="154">
        <f>'ОСНОВА'!M19</f>
        <v>5</v>
      </c>
      <c r="N43" s="154">
        <f>'ОСНОВА'!N19</f>
        <v>5</v>
      </c>
      <c r="O43" s="154">
        <f>'ОСНОВА'!O19</f>
        <v>6</v>
      </c>
      <c r="P43" s="154" t="str">
        <f>'ОСНОВА'!P19</f>
        <v/>
      </c>
      <c r="Q43" s="154">
        <f>'ОСНОВА'!Q19</f>
        <v>4</v>
      </c>
      <c r="R43" s="154">
        <f>'ОСНОВА'!R19</f>
        <v>7</v>
      </c>
      <c r="S43" s="154">
        <f>'ОСНОВА'!S19</f>
        <v>16</v>
      </c>
      <c r="T43" s="154">
        <f>'ОСНОВА'!T19</f>
        <v>9</v>
      </c>
      <c r="U43" s="154">
        <f>'ОСНОВА'!U19</f>
        <v>28</v>
      </c>
      <c r="V43" s="154">
        <f>'ОСНОВА'!V19</f>
        <v>47</v>
      </c>
      <c r="W43" s="154">
        <f>'ОСНОВА'!W19</f>
        <v>11</v>
      </c>
      <c r="X43" s="154">
        <f>'ОСНОВА'!X19</f>
        <v>77</v>
      </c>
      <c r="Y43" s="154">
        <f>'ОСНОВА'!Y19</f>
        <v>34</v>
      </c>
      <c r="Z43" s="154">
        <f>'ОСНОВА'!Z19</f>
        <v>43</v>
      </c>
      <c r="AA43" s="154">
        <f>'ОСНОВА'!AA19</f>
        <v>8</v>
      </c>
      <c r="AB43" s="154">
        <f>'ОСНОВА'!AB19</f>
        <v>22</v>
      </c>
      <c r="AC43" s="154">
        <f>'ОСНОВА'!AC19</f>
        <v>15</v>
      </c>
      <c r="AD43" s="154">
        <f>'ОСНОВА'!AD19</f>
        <v>15</v>
      </c>
      <c r="AE43" s="154">
        <f>'ОСНОВА'!AE19</f>
        <v>22</v>
      </c>
      <c r="AF43" s="154">
        <f>'ОСНОВА'!AF19</f>
        <v>24</v>
      </c>
      <c r="AG43" s="154">
        <f>'ОСНОВА'!AG19</f>
        <v>9</v>
      </c>
      <c r="AH43" s="154">
        <f>'ОСНОВА'!AH19</f>
        <v>45</v>
      </c>
      <c r="AI43" s="155">
        <f t="shared" ref="AI43:AI44" si="30">SUM(C43:AH43)</f>
        <v>1365</v>
      </c>
      <c r="AJ43" s="155"/>
      <c r="AK43" s="155"/>
      <c r="AL43" s="155"/>
      <c r="AM43" s="156"/>
    </row>
    <row r="44">
      <c r="A44" s="157"/>
      <c r="B44" s="158" t="s">
        <v>64</v>
      </c>
      <c r="C44" s="158">
        <v>0.0</v>
      </c>
      <c r="D44" s="158">
        <v>0.0</v>
      </c>
      <c r="E44" s="158">
        <v>143.0</v>
      </c>
      <c r="F44" s="158">
        <v>0.0</v>
      </c>
      <c r="G44" s="158">
        <v>1.0</v>
      </c>
      <c r="H44" s="158">
        <v>0.0</v>
      </c>
      <c r="I44" s="158">
        <v>1.0</v>
      </c>
      <c r="J44" s="158">
        <v>1.0</v>
      </c>
      <c r="K44" s="158">
        <v>0.0</v>
      </c>
      <c r="L44" s="158">
        <v>1.0</v>
      </c>
      <c r="M44" s="158">
        <v>0.0</v>
      </c>
      <c r="N44" s="158">
        <v>0.0</v>
      </c>
      <c r="O44" s="158">
        <v>3.0</v>
      </c>
      <c r="P44" s="158">
        <v>3.0</v>
      </c>
      <c r="Q44" s="158">
        <v>0.0</v>
      </c>
      <c r="R44" s="158">
        <v>0.0</v>
      </c>
      <c r="S44" s="158">
        <v>0.0</v>
      </c>
      <c r="T44" s="158">
        <v>0.0</v>
      </c>
      <c r="U44" s="158">
        <v>0.0</v>
      </c>
      <c r="V44" s="158">
        <v>5.0</v>
      </c>
      <c r="W44" s="158">
        <v>0.0</v>
      </c>
      <c r="X44" s="158">
        <v>2.0</v>
      </c>
      <c r="Y44" s="158">
        <v>4.0</v>
      </c>
      <c r="Z44" s="158">
        <v>6.0</v>
      </c>
      <c r="AA44" s="158">
        <v>0.0</v>
      </c>
      <c r="AB44" s="158">
        <v>0.0</v>
      </c>
      <c r="AC44" s="158">
        <v>2.0</v>
      </c>
      <c r="AD44" s="158">
        <v>2.0</v>
      </c>
      <c r="AE44" s="158">
        <v>1.0</v>
      </c>
      <c r="AF44" s="158">
        <v>2.0</v>
      </c>
      <c r="AG44" s="158">
        <v>0.0</v>
      </c>
      <c r="AH44" s="158">
        <v>23.0</v>
      </c>
      <c r="AI44" s="155">
        <f t="shared" si="30"/>
        <v>200</v>
      </c>
      <c r="AJ44" s="152"/>
      <c r="AK44" s="152"/>
      <c r="AL44" s="152"/>
      <c r="AM44" s="159"/>
    </row>
    <row r="45">
      <c r="A45" s="160"/>
      <c r="B45" s="161" t="s">
        <v>65</v>
      </c>
      <c r="C45" s="162">
        <f t="shared" ref="C45:AI45" si="31">C44/C43</f>
        <v>0</v>
      </c>
      <c r="D45" s="162">
        <f t="shared" si="31"/>
        <v>0</v>
      </c>
      <c r="E45" s="162">
        <f t="shared" si="31"/>
        <v>0.1817026684</v>
      </c>
      <c r="F45" s="162">
        <f t="shared" si="31"/>
        <v>0</v>
      </c>
      <c r="G45" s="162">
        <f t="shared" si="31"/>
        <v>0.1111111111</v>
      </c>
      <c r="H45" s="162">
        <f t="shared" si="31"/>
        <v>0</v>
      </c>
      <c r="I45" s="162">
        <f t="shared" si="31"/>
        <v>0.04347826087</v>
      </c>
      <c r="J45" s="162">
        <f t="shared" si="31"/>
        <v>0.05882352941</v>
      </c>
      <c r="K45" s="162">
        <f t="shared" si="31"/>
        <v>0</v>
      </c>
      <c r="L45" s="162">
        <f t="shared" si="31"/>
        <v>0.5</v>
      </c>
      <c r="M45" s="162">
        <f t="shared" si="31"/>
        <v>0</v>
      </c>
      <c r="N45" s="162">
        <f t="shared" si="31"/>
        <v>0</v>
      </c>
      <c r="O45" s="162">
        <f t="shared" si="31"/>
        <v>0.5</v>
      </c>
      <c r="P45" s="162" t="str">
        <f t="shared" si="31"/>
        <v>#DIV/0!</v>
      </c>
      <c r="Q45" s="162">
        <f t="shared" si="31"/>
        <v>0</v>
      </c>
      <c r="R45" s="162">
        <f t="shared" si="31"/>
        <v>0</v>
      </c>
      <c r="S45" s="162">
        <f t="shared" si="31"/>
        <v>0</v>
      </c>
      <c r="T45" s="162">
        <f t="shared" si="31"/>
        <v>0</v>
      </c>
      <c r="U45" s="162">
        <f t="shared" si="31"/>
        <v>0</v>
      </c>
      <c r="V45" s="162">
        <f t="shared" si="31"/>
        <v>0.1063829787</v>
      </c>
      <c r="W45" s="162">
        <f t="shared" si="31"/>
        <v>0</v>
      </c>
      <c r="X45" s="162">
        <f t="shared" si="31"/>
        <v>0.02597402597</v>
      </c>
      <c r="Y45" s="162">
        <f t="shared" si="31"/>
        <v>0.1176470588</v>
      </c>
      <c r="Z45" s="162">
        <f t="shared" si="31"/>
        <v>0.1395348837</v>
      </c>
      <c r="AA45" s="162">
        <f t="shared" si="31"/>
        <v>0</v>
      </c>
      <c r="AB45" s="162">
        <f t="shared" si="31"/>
        <v>0</v>
      </c>
      <c r="AC45" s="162">
        <f t="shared" si="31"/>
        <v>0.1333333333</v>
      </c>
      <c r="AD45" s="162">
        <f t="shared" si="31"/>
        <v>0.1333333333</v>
      </c>
      <c r="AE45" s="162">
        <f t="shared" si="31"/>
        <v>0.04545454545</v>
      </c>
      <c r="AF45" s="162">
        <f t="shared" si="31"/>
        <v>0.08333333333</v>
      </c>
      <c r="AG45" s="162">
        <f t="shared" si="31"/>
        <v>0</v>
      </c>
      <c r="AH45" s="162">
        <f t="shared" si="31"/>
        <v>0.5111111111</v>
      </c>
      <c r="AI45" s="162">
        <f t="shared" si="31"/>
        <v>0.1465201465</v>
      </c>
      <c r="AJ45" s="162"/>
      <c r="AK45" s="162"/>
      <c r="AL45" s="162"/>
      <c r="AM45" s="163"/>
    </row>
    <row r="46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52"/>
      <c r="AG46" s="152"/>
      <c r="AH46" s="152"/>
      <c r="AI46" s="152"/>
      <c r="AJ46" s="152"/>
      <c r="AK46" s="152"/>
      <c r="AL46" s="152"/>
      <c r="AM46" s="152"/>
    </row>
    <row r="47">
      <c r="A47" s="153">
        <f>'ОСНОВА'!A18</f>
        <v>46067</v>
      </c>
      <c r="B47" s="154" t="s">
        <v>63</v>
      </c>
      <c r="C47" s="154">
        <f>'ОСНОВА'!C18</f>
        <v>31</v>
      </c>
      <c r="D47" s="154">
        <f>'ОСНОВА'!D18</f>
        <v>14</v>
      </c>
      <c r="E47" s="154">
        <f>'ОСНОВА'!E18</f>
        <v>60</v>
      </c>
      <c r="F47" s="154">
        <f>'ОСНОВА'!F18</f>
        <v>25</v>
      </c>
      <c r="G47" s="154">
        <f>'ОСНОВА'!G18</f>
        <v>5</v>
      </c>
      <c r="H47" s="154">
        <f>'ОСНОВА'!H18</f>
        <v>21</v>
      </c>
      <c r="I47" s="154">
        <f>'ОСНОВА'!I18</f>
        <v>36</v>
      </c>
      <c r="J47" s="154">
        <f>'ОСНОВА'!J18</f>
        <v>22</v>
      </c>
      <c r="K47" s="154">
        <f>'ОСНОВА'!K18</f>
        <v>15</v>
      </c>
      <c r="L47" s="154">
        <f>'ОСНОВА'!L18</f>
        <v>2</v>
      </c>
      <c r="M47" s="154">
        <f>'ОСНОВА'!M18</f>
        <v>16</v>
      </c>
      <c r="N47" s="154">
        <f>'ОСНОВА'!N18</f>
        <v>5</v>
      </c>
      <c r="O47" s="154">
        <f>'ОСНОВА'!O18</f>
        <v>9</v>
      </c>
      <c r="P47" s="154">
        <f>'ОСНОВА'!P18</f>
        <v>196</v>
      </c>
      <c r="Q47" s="154">
        <f>'ОСНОВА'!Q18</f>
        <v>3</v>
      </c>
      <c r="R47" s="154">
        <f>'ОСНОВА'!R18</f>
        <v>11</v>
      </c>
      <c r="S47" s="154">
        <f>'ОСНОВА'!R18</f>
        <v>11</v>
      </c>
      <c r="T47" s="154">
        <f>'ОСНОВА'!S18</f>
        <v>15</v>
      </c>
      <c r="U47" s="154">
        <f>'ОСНОВА'!T18</f>
        <v>9</v>
      </c>
      <c r="V47" s="154">
        <f>'ОСНОВА'!U18</f>
        <v>35</v>
      </c>
      <c r="W47" s="154">
        <f>'ОСНОВА'!V18</f>
        <v>31</v>
      </c>
      <c r="X47" s="154">
        <f>'ОСНОВА'!W18</f>
        <v>11</v>
      </c>
      <c r="Y47" s="154">
        <f>'ОСНОВА'!X18</f>
        <v>183</v>
      </c>
      <c r="Z47" s="154">
        <f>'ОСНОВА'!Y18</f>
        <v>29</v>
      </c>
      <c r="AA47" s="154">
        <f>'ОСНОВА'!Z18</f>
        <v>24</v>
      </c>
      <c r="AB47" s="154">
        <f>'ОСНОВА'!AA18</f>
        <v>4</v>
      </c>
      <c r="AC47" s="154">
        <f>'ОСНОВА'!AB18</f>
        <v>18</v>
      </c>
      <c r="AD47" s="154">
        <f>'ОСНОВА'!AC18</f>
        <v>9</v>
      </c>
      <c r="AE47" s="154">
        <f>'ОСНОВА'!AD18</f>
        <v>23</v>
      </c>
      <c r="AF47" s="154">
        <f>'ОСНОВА'!AE18</f>
        <v>22</v>
      </c>
      <c r="AG47" s="154">
        <f>'ОСНОВА'!AF18</f>
        <v>22</v>
      </c>
      <c r="AH47" s="154" t="str">
        <f>'ОСНОВА'!AH23</f>
        <v/>
      </c>
      <c r="AI47" s="155">
        <f t="shared" ref="AI47:AI48" si="32">SUM(C47:AH47)</f>
        <v>917</v>
      </c>
      <c r="AJ47" s="155"/>
      <c r="AK47" s="155"/>
      <c r="AL47" s="155"/>
      <c r="AM47" s="156"/>
    </row>
    <row r="48">
      <c r="A48" s="157"/>
      <c r="B48" s="158" t="s">
        <v>64</v>
      </c>
      <c r="C48" s="158">
        <v>0.0</v>
      </c>
      <c r="D48" s="158"/>
      <c r="E48" s="158">
        <v>6.0</v>
      </c>
      <c r="F48" s="158"/>
      <c r="G48" s="158"/>
      <c r="H48" s="158"/>
      <c r="I48" s="158"/>
      <c r="J48" s="158"/>
      <c r="K48" s="158"/>
      <c r="L48" s="158"/>
      <c r="M48" s="158"/>
      <c r="N48" s="158"/>
      <c r="O48" s="158">
        <v>3.0</v>
      </c>
      <c r="P48" s="158"/>
      <c r="Q48" s="158"/>
      <c r="R48" s="158"/>
      <c r="S48" s="158"/>
      <c r="T48" s="158"/>
      <c r="U48" s="158"/>
      <c r="V48" s="158">
        <v>3.0</v>
      </c>
      <c r="W48" s="158"/>
      <c r="X48" s="158"/>
      <c r="Y48" s="158">
        <v>42.0</v>
      </c>
      <c r="Z48" s="158"/>
      <c r="AA48" s="158">
        <v>0.0</v>
      </c>
      <c r="AB48" s="158"/>
      <c r="AC48" s="158">
        <v>0.0</v>
      </c>
      <c r="AD48" s="158">
        <v>1.0</v>
      </c>
      <c r="AE48" s="158">
        <v>0.0</v>
      </c>
      <c r="AF48" s="158">
        <v>1.0</v>
      </c>
      <c r="AG48" s="158">
        <v>2.0</v>
      </c>
      <c r="AH48" s="158"/>
      <c r="AI48" s="155">
        <f t="shared" si="32"/>
        <v>58</v>
      </c>
      <c r="AJ48" s="152"/>
      <c r="AK48" s="152"/>
      <c r="AL48" s="152"/>
      <c r="AM48" s="159"/>
    </row>
    <row r="49">
      <c r="A49" s="160"/>
      <c r="B49" s="161" t="s">
        <v>65</v>
      </c>
      <c r="C49" s="162">
        <f t="shared" ref="C49:AI49" si="33">C48/C47</f>
        <v>0</v>
      </c>
      <c r="D49" s="162">
        <f t="shared" si="33"/>
        <v>0</v>
      </c>
      <c r="E49" s="162">
        <f t="shared" si="33"/>
        <v>0.1</v>
      </c>
      <c r="F49" s="162">
        <f t="shared" si="33"/>
        <v>0</v>
      </c>
      <c r="G49" s="162">
        <f t="shared" si="33"/>
        <v>0</v>
      </c>
      <c r="H49" s="162">
        <f t="shared" si="33"/>
        <v>0</v>
      </c>
      <c r="I49" s="162">
        <f t="shared" si="33"/>
        <v>0</v>
      </c>
      <c r="J49" s="162">
        <f t="shared" si="33"/>
        <v>0</v>
      </c>
      <c r="K49" s="162">
        <f t="shared" si="33"/>
        <v>0</v>
      </c>
      <c r="L49" s="162">
        <f t="shared" si="33"/>
        <v>0</v>
      </c>
      <c r="M49" s="162">
        <f t="shared" si="33"/>
        <v>0</v>
      </c>
      <c r="N49" s="162">
        <f t="shared" si="33"/>
        <v>0</v>
      </c>
      <c r="O49" s="162">
        <f t="shared" si="33"/>
        <v>0.3333333333</v>
      </c>
      <c r="P49" s="162">
        <f t="shared" si="33"/>
        <v>0</v>
      </c>
      <c r="Q49" s="162">
        <f t="shared" si="33"/>
        <v>0</v>
      </c>
      <c r="R49" s="162">
        <f t="shared" si="33"/>
        <v>0</v>
      </c>
      <c r="S49" s="162">
        <f t="shared" si="33"/>
        <v>0</v>
      </c>
      <c r="T49" s="162">
        <f t="shared" si="33"/>
        <v>0</v>
      </c>
      <c r="U49" s="162">
        <f t="shared" si="33"/>
        <v>0</v>
      </c>
      <c r="V49" s="162">
        <f t="shared" si="33"/>
        <v>0.08571428571</v>
      </c>
      <c r="W49" s="162">
        <f t="shared" si="33"/>
        <v>0</v>
      </c>
      <c r="X49" s="162">
        <f t="shared" si="33"/>
        <v>0</v>
      </c>
      <c r="Y49" s="162">
        <f t="shared" si="33"/>
        <v>0.2295081967</v>
      </c>
      <c r="Z49" s="162">
        <f t="shared" si="33"/>
        <v>0</v>
      </c>
      <c r="AA49" s="162">
        <f t="shared" si="33"/>
        <v>0</v>
      </c>
      <c r="AB49" s="162">
        <f t="shared" si="33"/>
        <v>0</v>
      </c>
      <c r="AC49" s="162">
        <f t="shared" si="33"/>
        <v>0</v>
      </c>
      <c r="AD49" s="162">
        <f t="shared" si="33"/>
        <v>0.1111111111</v>
      </c>
      <c r="AE49" s="162">
        <f t="shared" si="33"/>
        <v>0</v>
      </c>
      <c r="AF49" s="162">
        <f t="shared" si="33"/>
        <v>0.04545454545</v>
      </c>
      <c r="AG49" s="162">
        <f t="shared" si="33"/>
        <v>0.09090909091</v>
      </c>
      <c r="AH49" s="162" t="str">
        <f t="shared" si="33"/>
        <v>#DIV/0!</v>
      </c>
      <c r="AI49" s="162">
        <f t="shared" si="33"/>
        <v>0.06324972737</v>
      </c>
      <c r="AJ49" s="162"/>
      <c r="AK49" s="162"/>
      <c r="AL49" s="162"/>
      <c r="AM49" s="163"/>
    </row>
    <row r="50">
      <c r="A50" s="152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52"/>
      <c r="AG50" s="152"/>
      <c r="AH50" s="152"/>
      <c r="AI50" s="152"/>
      <c r="AJ50" s="152"/>
      <c r="AK50" s="152"/>
      <c r="AL50" s="152"/>
      <c r="AM50" s="152"/>
    </row>
    <row r="51">
      <c r="A51" s="153">
        <f>'ОСНОВА'!A17</f>
        <v>46074</v>
      </c>
      <c r="B51" s="154" t="s">
        <v>63</v>
      </c>
      <c r="C51" s="154"/>
      <c r="D51" s="154"/>
      <c r="E51" s="154"/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5">
        <f t="shared" ref="AI51:AI52" si="34">SUM(C51:AH51)</f>
        <v>0</v>
      </c>
      <c r="AJ51" s="155"/>
      <c r="AK51" s="155"/>
      <c r="AL51" s="155"/>
      <c r="AM51" s="156"/>
    </row>
    <row r="52">
      <c r="A52" s="157"/>
      <c r="B52" s="158" t="s">
        <v>64</v>
      </c>
      <c r="C52" s="158"/>
      <c r="D52" s="158"/>
      <c r="E52" s="158"/>
      <c r="F52" s="158"/>
      <c r="G52" s="158"/>
      <c r="H52" s="158"/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  <c r="AB52" s="158"/>
      <c r="AC52" s="158"/>
      <c r="AD52" s="158"/>
      <c r="AE52" s="158"/>
      <c r="AF52" s="158"/>
      <c r="AG52" s="158"/>
      <c r="AH52" s="158"/>
      <c r="AI52" s="155">
        <f t="shared" si="34"/>
        <v>0</v>
      </c>
      <c r="AJ52" s="152"/>
      <c r="AK52" s="152"/>
      <c r="AL52" s="152"/>
      <c r="AM52" s="159"/>
    </row>
    <row r="53">
      <c r="A53" s="160"/>
      <c r="B53" s="161" t="s">
        <v>65</v>
      </c>
      <c r="C53" s="162" t="str">
        <f t="shared" ref="C53:AI53" si="35">C52/C51</f>
        <v>#DIV/0!</v>
      </c>
      <c r="D53" s="162" t="str">
        <f t="shared" si="35"/>
        <v>#DIV/0!</v>
      </c>
      <c r="E53" s="162" t="str">
        <f t="shared" si="35"/>
        <v>#DIV/0!</v>
      </c>
      <c r="F53" s="162" t="str">
        <f t="shared" si="35"/>
        <v>#DIV/0!</v>
      </c>
      <c r="G53" s="162" t="str">
        <f t="shared" si="35"/>
        <v>#DIV/0!</v>
      </c>
      <c r="H53" s="162" t="str">
        <f t="shared" si="35"/>
        <v>#DIV/0!</v>
      </c>
      <c r="I53" s="162" t="str">
        <f t="shared" si="35"/>
        <v>#DIV/0!</v>
      </c>
      <c r="J53" s="162" t="str">
        <f t="shared" si="35"/>
        <v>#DIV/0!</v>
      </c>
      <c r="K53" s="162" t="str">
        <f t="shared" si="35"/>
        <v>#DIV/0!</v>
      </c>
      <c r="L53" s="162" t="str">
        <f t="shared" si="35"/>
        <v>#DIV/0!</v>
      </c>
      <c r="M53" s="162" t="str">
        <f t="shared" si="35"/>
        <v>#DIV/0!</v>
      </c>
      <c r="N53" s="162" t="str">
        <f t="shared" si="35"/>
        <v>#DIV/0!</v>
      </c>
      <c r="O53" s="162" t="str">
        <f t="shared" si="35"/>
        <v>#DIV/0!</v>
      </c>
      <c r="P53" s="162" t="str">
        <f t="shared" si="35"/>
        <v>#DIV/0!</v>
      </c>
      <c r="Q53" s="162" t="str">
        <f t="shared" si="35"/>
        <v>#DIV/0!</v>
      </c>
      <c r="R53" s="162" t="str">
        <f t="shared" si="35"/>
        <v>#DIV/0!</v>
      </c>
      <c r="S53" s="162" t="str">
        <f t="shared" si="35"/>
        <v>#DIV/0!</v>
      </c>
      <c r="T53" s="162" t="str">
        <f t="shared" si="35"/>
        <v>#DIV/0!</v>
      </c>
      <c r="U53" s="162" t="str">
        <f t="shared" si="35"/>
        <v>#DIV/0!</v>
      </c>
      <c r="V53" s="162" t="str">
        <f t="shared" si="35"/>
        <v>#DIV/0!</v>
      </c>
      <c r="W53" s="162" t="str">
        <f t="shared" si="35"/>
        <v>#DIV/0!</v>
      </c>
      <c r="X53" s="162" t="str">
        <f t="shared" si="35"/>
        <v>#DIV/0!</v>
      </c>
      <c r="Y53" s="162" t="str">
        <f t="shared" si="35"/>
        <v>#DIV/0!</v>
      </c>
      <c r="Z53" s="162" t="str">
        <f t="shared" si="35"/>
        <v>#DIV/0!</v>
      </c>
      <c r="AA53" s="162" t="str">
        <f t="shared" si="35"/>
        <v>#DIV/0!</v>
      </c>
      <c r="AB53" s="162" t="str">
        <f t="shared" si="35"/>
        <v>#DIV/0!</v>
      </c>
      <c r="AC53" s="162" t="str">
        <f t="shared" si="35"/>
        <v>#DIV/0!</v>
      </c>
      <c r="AD53" s="162" t="str">
        <f t="shared" si="35"/>
        <v>#DIV/0!</v>
      </c>
      <c r="AE53" s="162" t="str">
        <f t="shared" si="35"/>
        <v>#DIV/0!</v>
      </c>
      <c r="AF53" s="162" t="str">
        <f t="shared" si="35"/>
        <v>#DIV/0!</v>
      </c>
      <c r="AG53" s="162" t="str">
        <f t="shared" si="35"/>
        <v>#DIV/0!</v>
      </c>
      <c r="AH53" s="162" t="str">
        <f t="shared" si="35"/>
        <v>#DIV/0!</v>
      </c>
      <c r="AI53" s="162" t="str">
        <f t="shared" si="35"/>
        <v>#DIV/0!</v>
      </c>
      <c r="AJ53" s="162"/>
      <c r="AK53" s="162"/>
      <c r="AL53" s="162"/>
      <c r="AM53" s="163"/>
    </row>
    <row r="54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</row>
    <row r="55">
      <c r="A55" s="153">
        <f>'ОСНОВА'!A16</f>
        <v>46081</v>
      </c>
      <c r="B55" s="154" t="s">
        <v>63</v>
      </c>
      <c r="C55" s="154">
        <f>'ОСНОВА'!C16</f>
        <v>38</v>
      </c>
      <c r="D55" s="154">
        <f>'ОСНОВА'!D16</f>
        <v>10</v>
      </c>
      <c r="E55" s="154">
        <f>'ОСНОВА'!E16</f>
        <v>103</v>
      </c>
      <c r="F55" s="154">
        <f>'ОСНОВА'!F16</f>
        <v>30</v>
      </c>
      <c r="G55" s="154">
        <f>'ОСНОВА'!G16</f>
        <v>9</v>
      </c>
      <c r="H55" s="154">
        <f>'ОСНОВА'!H16</f>
        <v>43</v>
      </c>
      <c r="I55" s="154">
        <f>'ОСНОВА'!I16</f>
        <v>28</v>
      </c>
      <c r="J55" s="154">
        <f>'ОСНОВА'!J16</f>
        <v>13</v>
      </c>
      <c r="K55" s="154">
        <f>'ОСНОВА'!K16</f>
        <v>26</v>
      </c>
      <c r="L55" s="154">
        <f>'ОСНОВА'!L16</f>
        <v>4</v>
      </c>
      <c r="M55" s="154">
        <f>'ОСНОВА'!M16</f>
        <v>13</v>
      </c>
      <c r="N55" s="154">
        <f>'ОСНОВА'!N16</f>
        <v>6</v>
      </c>
      <c r="O55" s="154">
        <f>'ОСНОВА'!O16</f>
        <v>8</v>
      </c>
      <c r="P55" s="154">
        <f>'ОСНОВА'!P16</f>
        <v>41</v>
      </c>
      <c r="Q55" s="154">
        <f>'ОСНОВА'!Q16</f>
        <v>7</v>
      </c>
      <c r="R55" s="154">
        <f>'ОСНОВА'!R16</f>
        <v>12</v>
      </c>
      <c r="S55" s="154">
        <f>'ОСНОВА'!S16</f>
        <v>12</v>
      </c>
      <c r="T55" s="154">
        <f>'ОСНОВА'!T16</f>
        <v>8</v>
      </c>
      <c r="U55" s="154">
        <f>'ОСНОВА'!U16</f>
        <v>12</v>
      </c>
      <c r="V55" s="154">
        <f>'ОСНОВА'!V16</f>
        <v>34</v>
      </c>
      <c r="W55" s="154">
        <f>'ОСНОВА'!W16</f>
        <v>12</v>
      </c>
      <c r="X55" s="154" t="str">
        <f>#REF!</f>
        <v>#REF!</v>
      </c>
      <c r="Y55" s="154">
        <f>'ОСНОВА'!Y16</f>
        <v>34</v>
      </c>
      <c r="Z55" s="154">
        <f>'ОСНОВА'!Z16</f>
        <v>30</v>
      </c>
      <c r="AA55" s="154">
        <f>'ОСНОВА'!AA16</f>
        <v>4</v>
      </c>
      <c r="AB55" s="154">
        <f>'ОСНОВА'!AB16</f>
        <v>55</v>
      </c>
      <c r="AC55" s="154">
        <f>'ОСНОВА'!AC16</f>
        <v>12</v>
      </c>
      <c r="AD55" s="154">
        <f>'ОСНОВА'!AD16</f>
        <v>17</v>
      </c>
      <c r="AE55" s="154">
        <f>'ОСНОВА'!AE16</f>
        <v>31</v>
      </c>
      <c r="AF55" s="154">
        <f>'ОСНОВА'!AF16</f>
        <v>26</v>
      </c>
      <c r="AG55" s="154">
        <f>'ОСНОВА'!AG16</f>
        <v>10</v>
      </c>
      <c r="AH55" s="154" t="str">
        <f>'ОСНОВА'!AH16</f>
        <v/>
      </c>
      <c r="AI55" s="155" t="str">
        <f t="shared" ref="AI55:AI56" si="36">SUM(C55:AH55)</f>
        <v>#REF!</v>
      </c>
      <c r="AJ55" s="155"/>
      <c r="AK55" s="155"/>
      <c r="AL55" s="155"/>
      <c r="AM55" s="156"/>
    </row>
    <row r="56">
      <c r="A56" s="157"/>
      <c r="B56" s="158" t="s">
        <v>64</v>
      </c>
      <c r="C56" s="158">
        <v>2.0</v>
      </c>
      <c r="D56" s="158"/>
      <c r="E56" s="158">
        <v>2.0</v>
      </c>
      <c r="F56" s="158"/>
      <c r="G56" s="158"/>
      <c r="H56" s="158">
        <v>6.0</v>
      </c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>
        <v>1.0</v>
      </c>
      <c r="W56" s="158"/>
      <c r="X56" s="158"/>
      <c r="Y56" s="158"/>
      <c r="Z56" s="158">
        <v>2.0</v>
      </c>
      <c r="AA56" s="158"/>
      <c r="AB56" s="158">
        <v>4.0</v>
      </c>
      <c r="AC56" s="158"/>
      <c r="AD56" s="158"/>
      <c r="AE56" s="158">
        <v>0.0</v>
      </c>
      <c r="AF56" s="158">
        <v>3.0</v>
      </c>
      <c r="AG56" s="158"/>
      <c r="AH56" s="158"/>
      <c r="AI56" s="155">
        <f t="shared" si="36"/>
        <v>20</v>
      </c>
      <c r="AJ56" s="152"/>
      <c r="AK56" s="152"/>
      <c r="AL56" s="152"/>
      <c r="AM56" s="159"/>
    </row>
    <row r="57">
      <c r="A57" s="160"/>
      <c r="B57" s="161" t="s">
        <v>65</v>
      </c>
      <c r="C57" s="162">
        <f t="shared" ref="C57:AI57" si="37">C56/C55</f>
        <v>0.05263157895</v>
      </c>
      <c r="D57" s="162">
        <f t="shared" si="37"/>
        <v>0</v>
      </c>
      <c r="E57" s="162">
        <f t="shared" si="37"/>
        <v>0.01941747573</v>
      </c>
      <c r="F57" s="162">
        <f t="shared" si="37"/>
        <v>0</v>
      </c>
      <c r="G57" s="162">
        <f t="shared" si="37"/>
        <v>0</v>
      </c>
      <c r="H57" s="162">
        <f t="shared" si="37"/>
        <v>0.1395348837</v>
      </c>
      <c r="I57" s="162">
        <f t="shared" si="37"/>
        <v>0</v>
      </c>
      <c r="J57" s="162">
        <f t="shared" si="37"/>
        <v>0</v>
      </c>
      <c r="K57" s="162">
        <f t="shared" si="37"/>
        <v>0</v>
      </c>
      <c r="L57" s="162">
        <f t="shared" si="37"/>
        <v>0</v>
      </c>
      <c r="M57" s="162">
        <f t="shared" si="37"/>
        <v>0</v>
      </c>
      <c r="N57" s="162">
        <f t="shared" si="37"/>
        <v>0</v>
      </c>
      <c r="O57" s="162">
        <f t="shared" si="37"/>
        <v>0</v>
      </c>
      <c r="P57" s="162">
        <f t="shared" si="37"/>
        <v>0</v>
      </c>
      <c r="Q57" s="162">
        <f t="shared" si="37"/>
        <v>0</v>
      </c>
      <c r="R57" s="162">
        <f t="shared" si="37"/>
        <v>0</v>
      </c>
      <c r="S57" s="162">
        <f t="shared" si="37"/>
        <v>0</v>
      </c>
      <c r="T57" s="162">
        <f t="shared" si="37"/>
        <v>0</v>
      </c>
      <c r="U57" s="162">
        <f t="shared" si="37"/>
        <v>0</v>
      </c>
      <c r="V57" s="162">
        <f t="shared" si="37"/>
        <v>0.02941176471</v>
      </c>
      <c r="W57" s="162">
        <f t="shared" si="37"/>
        <v>0</v>
      </c>
      <c r="X57" s="162" t="str">
        <f t="shared" si="37"/>
        <v>#REF!</v>
      </c>
      <c r="Y57" s="162">
        <f t="shared" si="37"/>
        <v>0</v>
      </c>
      <c r="Z57" s="162">
        <f t="shared" si="37"/>
        <v>0.06666666667</v>
      </c>
      <c r="AA57" s="162">
        <f t="shared" si="37"/>
        <v>0</v>
      </c>
      <c r="AB57" s="162">
        <f t="shared" si="37"/>
        <v>0.07272727273</v>
      </c>
      <c r="AC57" s="162">
        <f t="shared" si="37"/>
        <v>0</v>
      </c>
      <c r="AD57" s="162">
        <f t="shared" si="37"/>
        <v>0</v>
      </c>
      <c r="AE57" s="162">
        <f t="shared" si="37"/>
        <v>0</v>
      </c>
      <c r="AF57" s="162">
        <f t="shared" si="37"/>
        <v>0.1153846154</v>
      </c>
      <c r="AG57" s="162">
        <f t="shared" si="37"/>
        <v>0</v>
      </c>
      <c r="AH57" s="162" t="str">
        <f t="shared" si="37"/>
        <v>#DIV/0!</v>
      </c>
      <c r="AI57" s="162" t="str">
        <f t="shared" si="37"/>
        <v>#REF!</v>
      </c>
      <c r="AJ57" s="162"/>
      <c r="AK57" s="162"/>
      <c r="AL57" s="162"/>
      <c r="AM57" s="163"/>
    </row>
    <row r="58">
      <c r="A58" s="152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52"/>
      <c r="AG58" s="152"/>
      <c r="AH58" s="152"/>
      <c r="AI58" s="152"/>
      <c r="AJ58" s="152"/>
      <c r="AK58" s="152"/>
      <c r="AL58" s="152"/>
      <c r="AM58" s="152"/>
    </row>
    <row r="59">
      <c r="A59" s="153">
        <f>'ОСНОВА'!A15</f>
        <v>46088</v>
      </c>
      <c r="B59" s="154" t="s">
        <v>63</v>
      </c>
      <c r="C59" s="154">
        <f>'ОСНОВА'!C15</f>
        <v>57</v>
      </c>
      <c r="D59" s="154">
        <f>'ОСНОВА'!D15</f>
        <v>13</v>
      </c>
      <c r="E59" s="154">
        <f>'ОСНОВА'!E15</f>
        <v>144</v>
      </c>
      <c r="F59" s="154">
        <f>'ОСНОВА'!F15</f>
        <v>35</v>
      </c>
      <c r="G59" s="154">
        <f>'ОСНОВА'!G15</f>
        <v>9</v>
      </c>
      <c r="H59" s="154">
        <f>'ОСНОВА'!H15</f>
        <v>40</v>
      </c>
      <c r="I59" s="154">
        <f>'ОСНОВА'!I15</f>
        <v>33</v>
      </c>
      <c r="J59" s="154">
        <f>'ОСНОВА'!J15</f>
        <v>22</v>
      </c>
      <c r="K59" s="154">
        <f>'ОСНОВА'!K15</f>
        <v>18</v>
      </c>
      <c r="L59" s="154">
        <f>'ОСНОВА'!L15</f>
        <v>10</v>
      </c>
      <c r="M59" s="154">
        <f>'ОСНОВА'!M15</f>
        <v>8</v>
      </c>
      <c r="N59" s="154">
        <f>'ОСНОВА'!N15</f>
        <v>11</v>
      </c>
      <c r="O59" s="154">
        <f>'ОСНОВА'!O15</f>
        <v>12</v>
      </c>
      <c r="P59" s="154">
        <f>'ОСНОВА'!P15</f>
        <v>37</v>
      </c>
      <c r="Q59" s="154">
        <f>'ОСНОВА'!Q15</f>
        <v>6</v>
      </c>
      <c r="R59" s="154">
        <f>'ОСНОВА'!R15</f>
        <v>12</v>
      </c>
      <c r="S59" s="154">
        <f>'ОСНОВА'!S15</f>
        <v>10</v>
      </c>
      <c r="T59" s="154">
        <f>'ОСНОВА'!T15</f>
        <v>10</v>
      </c>
      <c r="U59" s="154">
        <f>'ОСНОВА'!U15</f>
        <v>37</v>
      </c>
      <c r="V59" s="154">
        <f>'ОСНОВА'!V15</f>
        <v>38</v>
      </c>
      <c r="W59" s="154">
        <f>'ОСНОВА'!W15</f>
        <v>35</v>
      </c>
      <c r="X59" s="154">
        <f>'ОСНОВА'!X14</f>
        <v>81</v>
      </c>
      <c r="Y59" s="154">
        <f>'ОСНОВА'!Y15</f>
        <v>34</v>
      </c>
      <c r="Z59" s="154">
        <f>'ОСНОВА'!Z15</f>
        <v>28</v>
      </c>
      <c r="AA59" s="154">
        <f>'ОСНОВА'!AA15</f>
        <v>3</v>
      </c>
      <c r="AB59" s="154">
        <f>'ОСНОВА'!AB15</f>
        <v>40</v>
      </c>
      <c r="AC59" s="154">
        <f>'ОСНОВА'!AC15</f>
        <v>25</v>
      </c>
      <c r="AD59" s="154">
        <f>'ОСНОВА'!AD15</f>
        <v>27</v>
      </c>
      <c r="AE59" s="154">
        <f>'ОСНОВА'!AE15</f>
        <v>30</v>
      </c>
      <c r="AF59" s="154">
        <f>'ОСНОВА'!AF15</f>
        <v>16</v>
      </c>
      <c r="AG59" s="154">
        <f>'ОСНОВА'!AG15</f>
        <v>17</v>
      </c>
      <c r="AH59" s="154" t="str">
        <f>'ОСНОВА'!AH15</f>
        <v/>
      </c>
      <c r="AI59" s="155">
        <f t="shared" ref="AI59:AI60" si="38">SUM(C59:AH59)</f>
        <v>898</v>
      </c>
      <c r="AJ59" s="155"/>
      <c r="AK59" s="155"/>
      <c r="AL59" s="155"/>
      <c r="AM59" s="156"/>
    </row>
    <row r="60">
      <c r="A60" s="157"/>
      <c r="B60" s="158" t="s">
        <v>64</v>
      </c>
      <c r="C60" s="158">
        <v>6.0</v>
      </c>
      <c r="D60" s="158"/>
      <c r="E60" s="158">
        <v>4.0</v>
      </c>
      <c r="F60" s="158">
        <v>2.0</v>
      </c>
      <c r="G60" s="158"/>
      <c r="H60" s="158">
        <v>1.0</v>
      </c>
      <c r="I60" s="158">
        <v>1.0</v>
      </c>
      <c r="J60" s="158">
        <v>0.0</v>
      </c>
      <c r="K60" s="158"/>
      <c r="L60" s="158"/>
      <c r="M60" s="158"/>
      <c r="N60" s="158"/>
      <c r="O60" s="158"/>
      <c r="P60" s="158">
        <v>1.0</v>
      </c>
      <c r="Q60" s="158"/>
      <c r="R60" s="158"/>
      <c r="S60" s="158"/>
      <c r="T60" s="158"/>
      <c r="U60" s="158"/>
      <c r="V60" s="158">
        <v>0.0</v>
      </c>
      <c r="W60" s="158">
        <v>9.0</v>
      </c>
      <c r="X60" s="158"/>
      <c r="Y60" s="158">
        <v>0.0</v>
      </c>
      <c r="Z60" s="158">
        <v>1.0</v>
      </c>
      <c r="AA60" s="158"/>
      <c r="AB60" s="158">
        <v>3.0</v>
      </c>
      <c r="AC60" s="158">
        <v>1.0</v>
      </c>
      <c r="AD60" s="158">
        <v>2.0</v>
      </c>
      <c r="AE60" s="158">
        <v>1.0</v>
      </c>
      <c r="AF60" s="158"/>
      <c r="AG60" s="158"/>
      <c r="AH60" s="158"/>
      <c r="AI60" s="155">
        <f t="shared" si="38"/>
        <v>32</v>
      </c>
      <c r="AJ60" s="152"/>
      <c r="AK60" s="152"/>
      <c r="AL60" s="152"/>
      <c r="AM60" s="159"/>
    </row>
    <row r="61">
      <c r="A61" s="160"/>
      <c r="B61" s="161" t="s">
        <v>65</v>
      </c>
      <c r="C61" s="162">
        <f t="shared" ref="C61:AI61" si="39">C60/C59</f>
        <v>0.1052631579</v>
      </c>
      <c r="D61" s="162">
        <f t="shared" si="39"/>
        <v>0</v>
      </c>
      <c r="E61" s="162">
        <f t="shared" si="39"/>
        <v>0.02777777778</v>
      </c>
      <c r="F61" s="162">
        <f t="shared" si="39"/>
        <v>0.05714285714</v>
      </c>
      <c r="G61" s="162">
        <f t="shared" si="39"/>
        <v>0</v>
      </c>
      <c r="H61" s="162">
        <f t="shared" si="39"/>
        <v>0.025</v>
      </c>
      <c r="I61" s="162">
        <f t="shared" si="39"/>
        <v>0.0303030303</v>
      </c>
      <c r="J61" s="162">
        <f t="shared" si="39"/>
        <v>0</v>
      </c>
      <c r="K61" s="162">
        <f t="shared" si="39"/>
        <v>0</v>
      </c>
      <c r="L61" s="162">
        <f t="shared" si="39"/>
        <v>0</v>
      </c>
      <c r="M61" s="162">
        <f t="shared" si="39"/>
        <v>0</v>
      </c>
      <c r="N61" s="162">
        <f t="shared" si="39"/>
        <v>0</v>
      </c>
      <c r="O61" s="162">
        <f t="shared" si="39"/>
        <v>0</v>
      </c>
      <c r="P61" s="162">
        <f t="shared" si="39"/>
        <v>0.02702702703</v>
      </c>
      <c r="Q61" s="162">
        <f t="shared" si="39"/>
        <v>0</v>
      </c>
      <c r="R61" s="162">
        <f t="shared" si="39"/>
        <v>0</v>
      </c>
      <c r="S61" s="162">
        <f t="shared" si="39"/>
        <v>0</v>
      </c>
      <c r="T61" s="162">
        <f t="shared" si="39"/>
        <v>0</v>
      </c>
      <c r="U61" s="162">
        <f t="shared" si="39"/>
        <v>0</v>
      </c>
      <c r="V61" s="162">
        <f t="shared" si="39"/>
        <v>0</v>
      </c>
      <c r="W61" s="162">
        <f t="shared" si="39"/>
        <v>0.2571428571</v>
      </c>
      <c r="X61" s="162">
        <f t="shared" si="39"/>
        <v>0</v>
      </c>
      <c r="Y61" s="162">
        <f t="shared" si="39"/>
        <v>0</v>
      </c>
      <c r="Z61" s="162">
        <f t="shared" si="39"/>
        <v>0.03571428571</v>
      </c>
      <c r="AA61" s="162">
        <f t="shared" si="39"/>
        <v>0</v>
      </c>
      <c r="AB61" s="162">
        <f t="shared" si="39"/>
        <v>0.075</v>
      </c>
      <c r="AC61" s="162">
        <f t="shared" si="39"/>
        <v>0.04</v>
      </c>
      <c r="AD61" s="162">
        <f t="shared" si="39"/>
        <v>0.07407407407</v>
      </c>
      <c r="AE61" s="162">
        <f t="shared" si="39"/>
        <v>0.03333333333</v>
      </c>
      <c r="AF61" s="162">
        <f t="shared" si="39"/>
        <v>0</v>
      </c>
      <c r="AG61" s="162">
        <f t="shared" si="39"/>
        <v>0</v>
      </c>
      <c r="AH61" s="162" t="str">
        <f t="shared" si="39"/>
        <v>#DIV/0!</v>
      </c>
      <c r="AI61" s="162">
        <f t="shared" si="39"/>
        <v>0.03563474388</v>
      </c>
      <c r="AJ61" s="162"/>
      <c r="AK61" s="162"/>
      <c r="AL61" s="162"/>
      <c r="AM61" s="163"/>
    </row>
    <row r="62">
      <c r="A62" s="152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52"/>
      <c r="AG62" s="152"/>
      <c r="AH62" s="152"/>
      <c r="AI62" s="152"/>
      <c r="AJ62" s="152"/>
      <c r="AK62" s="152"/>
      <c r="AL62" s="152"/>
      <c r="AM62" s="152"/>
    </row>
    <row r="63">
      <c r="A63" s="152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</row>
    <row r="64">
      <c r="A64" s="152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52"/>
      <c r="AG64" s="152"/>
      <c r="AH64" s="152"/>
      <c r="AI64" s="152"/>
      <c r="AJ64" s="152"/>
      <c r="AK64" s="152"/>
      <c r="AL64" s="152"/>
      <c r="AM64" s="152"/>
    </row>
    <row r="65">
      <c r="A65" s="152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52"/>
      <c r="AG65" s="152"/>
      <c r="AH65" s="152"/>
      <c r="AI65" s="152"/>
      <c r="AJ65" s="152"/>
      <c r="AK65" s="152"/>
      <c r="AL65" s="152"/>
      <c r="AM65" s="152"/>
    </row>
    <row r="66">
      <c r="A66" s="152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2"/>
      <c r="AE66" s="152"/>
      <c r="AF66" s="152"/>
      <c r="AG66" s="152"/>
      <c r="AH66" s="152"/>
      <c r="AI66" s="152"/>
      <c r="AJ66" s="152"/>
      <c r="AK66" s="152"/>
      <c r="AL66" s="152"/>
      <c r="AM66" s="152"/>
    </row>
    <row r="67">
      <c r="A67" s="152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E67" s="152"/>
      <c r="AF67" s="152"/>
      <c r="AG67" s="152"/>
      <c r="AH67" s="152"/>
      <c r="AI67" s="152"/>
      <c r="AJ67" s="152"/>
      <c r="AK67" s="152"/>
      <c r="AL67" s="152"/>
      <c r="AM67" s="152"/>
    </row>
    <row r="68">
      <c r="A68" s="152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152"/>
      <c r="AG68" s="152"/>
      <c r="AH68" s="152"/>
      <c r="AI68" s="152"/>
      <c r="AJ68" s="152"/>
      <c r="AK68" s="152"/>
      <c r="AL68" s="152"/>
      <c r="AM68" s="152"/>
    </row>
    <row r="69">
      <c r="A69" s="152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2"/>
      <c r="AD69" s="152"/>
      <c r="AE69" s="152"/>
      <c r="AF69" s="152"/>
      <c r="AG69" s="152"/>
      <c r="AH69" s="152"/>
      <c r="AI69" s="152"/>
      <c r="AJ69" s="152"/>
      <c r="AK69" s="152"/>
      <c r="AL69" s="152"/>
      <c r="AM69" s="152"/>
    </row>
    <row r="70">
      <c r="A70" s="152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  <c r="AK70" s="152"/>
      <c r="AL70" s="152"/>
      <c r="AM70" s="152"/>
    </row>
    <row r="71">
      <c r="A71" s="152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M71" s="152"/>
    </row>
    <row r="72">
      <c r="A72" s="152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</row>
    <row r="73">
      <c r="A73" s="152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</row>
    <row r="74">
      <c r="A74" s="152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</row>
    <row r="75">
      <c r="A75" s="152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2"/>
      <c r="AD75" s="152"/>
      <c r="AE75" s="152"/>
      <c r="AF75" s="152"/>
      <c r="AG75" s="152"/>
      <c r="AH75" s="152"/>
      <c r="AI75" s="152"/>
      <c r="AJ75" s="152"/>
      <c r="AK75" s="152"/>
      <c r="AL75" s="152"/>
      <c r="AM75" s="152"/>
    </row>
    <row r="76">
      <c r="A76" s="152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2"/>
      <c r="AI76" s="152"/>
      <c r="AJ76" s="152"/>
      <c r="AK76" s="152"/>
      <c r="AL76" s="152"/>
      <c r="AM76" s="152"/>
    </row>
    <row r="77">
      <c r="A77" s="152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  <c r="AD77" s="152"/>
      <c r="AE77" s="152"/>
      <c r="AF77" s="152"/>
      <c r="AG77" s="152"/>
      <c r="AH77" s="152"/>
      <c r="AI77" s="152"/>
      <c r="AJ77" s="152"/>
      <c r="AK77" s="152"/>
      <c r="AL77" s="152"/>
      <c r="AM77" s="152"/>
    </row>
    <row r="78">
      <c r="A78" s="152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AI78" s="152"/>
      <c r="AJ78" s="152"/>
      <c r="AK78" s="152"/>
      <c r="AL78" s="152"/>
      <c r="AM78" s="152"/>
    </row>
    <row r="79">
      <c r="A79" s="152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  <c r="AD79" s="152"/>
      <c r="AE79" s="152"/>
      <c r="AF79" s="152"/>
      <c r="AG79" s="152"/>
      <c r="AH79" s="152"/>
      <c r="AI79" s="152"/>
      <c r="AJ79" s="152"/>
      <c r="AK79" s="152"/>
      <c r="AL79" s="152"/>
      <c r="AM79" s="152"/>
    </row>
    <row r="80">
      <c r="A80" s="152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  <c r="AE80" s="152"/>
      <c r="AF80" s="152"/>
      <c r="AG80" s="152"/>
      <c r="AH80" s="152"/>
      <c r="AI80" s="152"/>
      <c r="AJ80" s="152"/>
      <c r="AK80" s="152"/>
      <c r="AL80" s="152"/>
      <c r="AM80" s="152"/>
    </row>
    <row r="81">
      <c r="A81" s="152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K81" s="152"/>
      <c r="AL81" s="152"/>
      <c r="AM81" s="152"/>
    </row>
    <row r="82">
      <c r="A82" s="152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  <c r="AE82" s="152"/>
      <c r="AF82" s="152"/>
      <c r="AG82" s="152"/>
      <c r="AH82" s="152"/>
      <c r="AI82" s="152"/>
      <c r="AJ82" s="152"/>
      <c r="AK82" s="152"/>
      <c r="AL82" s="152"/>
      <c r="AM82" s="152"/>
    </row>
    <row r="83">
      <c r="A83" s="152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  <c r="AD83" s="152"/>
      <c r="AE83" s="152"/>
      <c r="AF83" s="152"/>
      <c r="AG83" s="152"/>
      <c r="AH83" s="152"/>
      <c r="AI83" s="152"/>
      <c r="AJ83" s="152"/>
      <c r="AK83" s="152"/>
      <c r="AL83" s="152"/>
      <c r="AM83" s="152"/>
    </row>
    <row r="84">
      <c r="A84" s="152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2"/>
      <c r="AF84" s="152"/>
      <c r="AG84" s="152"/>
      <c r="AH84" s="152"/>
      <c r="AI84" s="152"/>
      <c r="AJ84" s="152"/>
      <c r="AK84" s="152"/>
      <c r="AL84" s="152"/>
      <c r="AM84" s="152"/>
    </row>
    <row r="85">
      <c r="A85" s="152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  <c r="AC85" s="152"/>
      <c r="AD85" s="152"/>
      <c r="AE85" s="152"/>
      <c r="AF85" s="152"/>
      <c r="AG85" s="152"/>
      <c r="AH85" s="152"/>
      <c r="AI85" s="152"/>
      <c r="AJ85" s="152"/>
      <c r="AK85" s="152"/>
      <c r="AL85" s="152"/>
      <c r="AM85" s="152"/>
    </row>
    <row r="86">
      <c r="A86" s="152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152"/>
      <c r="AD86" s="152"/>
      <c r="AE86" s="152"/>
      <c r="AF86" s="152"/>
      <c r="AG86" s="152"/>
      <c r="AH86" s="152"/>
      <c r="AI86" s="152"/>
      <c r="AJ86" s="152"/>
      <c r="AK86" s="152"/>
      <c r="AL86" s="152"/>
      <c r="AM86" s="152"/>
    </row>
    <row r="87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  <c r="AD87" s="152"/>
      <c r="AE87" s="152"/>
      <c r="AF87" s="152"/>
      <c r="AG87" s="152"/>
      <c r="AH87" s="152"/>
      <c r="AI87" s="152"/>
      <c r="AJ87" s="152"/>
      <c r="AK87" s="152"/>
      <c r="AL87" s="152"/>
      <c r="AM87" s="152"/>
    </row>
    <row r="88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  <c r="AD88" s="152"/>
      <c r="AE88" s="152"/>
      <c r="AF88" s="152"/>
      <c r="AG88" s="152"/>
      <c r="AH88" s="152"/>
      <c r="AI88" s="152"/>
      <c r="AJ88" s="152"/>
      <c r="AK88" s="152"/>
      <c r="AL88" s="152"/>
      <c r="AM88" s="152"/>
    </row>
    <row r="89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  <c r="AF89" s="152"/>
      <c r="AG89" s="152"/>
      <c r="AH89" s="152"/>
      <c r="AI89" s="152"/>
      <c r="AJ89" s="152"/>
      <c r="AK89" s="152"/>
      <c r="AL89" s="152"/>
      <c r="AM89" s="152"/>
    </row>
    <row r="90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2"/>
      <c r="AG90" s="152"/>
      <c r="AH90" s="152"/>
      <c r="AI90" s="152"/>
      <c r="AJ90" s="152"/>
      <c r="AK90" s="152"/>
      <c r="AL90" s="152"/>
      <c r="AM90" s="152"/>
    </row>
    <row r="91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  <c r="AC91" s="152"/>
      <c r="AD91" s="152"/>
      <c r="AE91" s="152"/>
      <c r="AF91" s="152"/>
      <c r="AG91" s="152"/>
      <c r="AH91" s="152"/>
      <c r="AI91" s="152"/>
      <c r="AJ91" s="152"/>
      <c r="AK91" s="152"/>
      <c r="AL91" s="152"/>
      <c r="AM91" s="152"/>
    </row>
    <row r="92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152"/>
      <c r="AE92" s="152"/>
      <c r="AF92" s="152"/>
      <c r="AG92" s="152"/>
      <c r="AH92" s="152"/>
      <c r="AI92" s="152"/>
      <c r="AJ92" s="152"/>
      <c r="AK92" s="152"/>
      <c r="AL92" s="152"/>
      <c r="AM92" s="152"/>
    </row>
    <row r="93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  <c r="AD93" s="152"/>
      <c r="AE93" s="152"/>
      <c r="AF93" s="152"/>
      <c r="AG93" s="152"/>
      <c r="AH93" s="152"/>
      <c r="AI93" s="152"/>
      <c r="AJ93" s="152"/>
      <c r="AK93" s="152"/>
      <c r="AL93" s="152"/>
      <c r="AM93" s="152"/>
    </row>
    <row r="94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52"/>
      <c r="AD94" s="152"/>
      <c r="AE94" s="152"/>
      <c r="AF94" s="152"/>
      <c r="AG94" s="152"/>
      <c r="AH94" s="152"/>
      <c r="AI94" s="152"/>
      <c r="AJ94" s="152"/>
      <c r="AK94" s="152"/>
      <c r="AL94" s="152"/>
      <c r="AM94" s="152"/>
    </row>
    <row r="9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52"/>
      <c r="AE95" s="152"/>
      <c r="AF95" s="152"/>
      <c r="AG95" s="152"/>
      <c r="AH95" s="152"/>
      <c r="AI95" s="152"/>
      <c r="AJ95" s="152"/>
      <c r="AK95" s="152"/>
      <c r="AL95" s="152"/>
      <c r="AM95" s="152"/>
    </row>
    <row r="96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2"/>
      <c r="AF96" s="152"/>
      <c r="AG96" s="152"/>
      <c r="AH96" s="152"/>
      <c r="AI96" s="152"/>
      <c r="AJ96" s="152"/>
      <c r="AK96" s="152"/>
      <c r="AL96" s="152"/>
      <c r="AM96" s="152"/>
    </row>
    <row r="97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  <c r="AD97" s="152"/>
      <c r="AE97" s="152"/>
      <c r="AF97" s="152"/>
      <c r="AG97" s="152"/>
      <c r="AH97" s="152"/>
      <c r="AI97" s="152"/>
      <c r="AJ97" s="152"/>
      <c r="AK97" s="152"/>
      <c r="AL97" s="152"/>
      <c r="AM97" s="152"/>
    </row>
    <row r="98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  <c r="AI98" s="152"/>
      <c r="AJ98" s="152"/>
      <c r="AK98" s="152"/>
      <c r="AL98" s="152"/>
      <c r="AM98" s="152"/>
    </row>
    <row r="99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  <c r="AM99" s="152"/>
    </row>
    <row r="100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52"/>
      <c r="AF100" s="152"/>
      <c r="AG100" s="152"/>
      <c r="AH100" s="152"/>
      <c r="AI100" s="152"/>
      <c r="AJ100" s="152"/>
      <c r="AK100" s="152"/>
      <c r="AL100" s="152"/>
      <c r="AM100" s="152"/>
    </row>
    <row r="101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  <c r="AE101" s="152"/>
      <c r="AF101" s="152"/>
      <c r="AG101" s="152"/>
      <c r="AH101" s="152"/>
      <c r="AI101" s="152"/>
      <c r="AJ101" s="152"/>
      <c r="AK101" s="152"/>
      <c r="AL101" s="152"/>
      <c r="AM101" s="152"/>
    </row>
    <row r="102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  <c r="AI102" s="152"/>
      <c r="AJ102" s="152"/>
      <c r="AK102" s="152"/>
      <c r="AL102" s="152"/>
      <c r="AM102" s="152"/>
    </row>
    <row r="103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  <c r="AE103" s="152"/>
      <c r="AF103" s="152"/>
      <c r="AG103" s="152"/>
      <c r="AH103" s="152"/>
      <c r="AI103" s="152"/>
      <c r="AJ103" s="152"/>
      <c r="AK103" s="152"/>
      <c r="AL103" s="152"/>
      <c r="AM103" s="152"/>
    </row>
    <row r="104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52"/>
      <c r="AF104" s="152"/>
      <c r="AG104" s="152"/>
      <c r="AH104" s="152"/>
      <c r="AI104" s="152"/>
      <c r="AJ104" s="152"/>
      <c r="AK104" s="152"/>
      <c r="AL104" s="152"/>
      <c r="AM104" s="152"/>
    </row>
    <row r="10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52"/>
      <c r="AF105" s="152"/>
      <c r="AG105" s="152"/>
      <c r="AH105" s="152"/>
      <c r="AI105" s="152"/>
      <c r="AJ105" s="152"/>
      <c r="AK105" s="152"/>
      <c r="AL105" s="152"/>
      <c r="AM105" s="152"/>
    </row>
    <row r="106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  <c r="AD106" s="152"/>
      <c r="AE106" s="152"/>
      <c r="AF106" s="152"/>
      <c r="AG106" s="152"/>
      <c r="AH106" s="152"/>
      <c r="AI106" s="152"/>
      <c r="AJ106" s="152"/>
      <c r="AK106" s="152"/>
      <c r="AL106" s="152"/>
      <c r="AM106" s="152"/>
    </row>
    <row r="107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  <c r="AD107" s="152"/>
      <c r="AE107" s="152"/>
      <c r="AF107" s="152"/>
      <c r="AG107" s="152"/>
      <c r="AH107" s="152"/>
      <c r="AI107" s="152"/>
      <c r="AJ107" s="152"/>
      <c r="AK107" s="152"/>
      <c r="AL107" s="152"/>
      <c r="AM107" s="152"/>
    </row>
    <row r="108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  <c r="AD108" s="152"/>
      <c r="AE108" s="152"/>
      <c r="AF108" s="152"/>
      <c r="AG108" s="152"/>
      <c r="AH108" s="152"/>
      <c r="AI108" s="152"/>
      <c r="AJ108" s="152"/>
      <c r="AK108" s="152"/>
      <c r="AL108" s="152"/>
      <c r="AM108" s="152"/>
    </row>
    <row r="109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  <c r="AD109" s="152"/>
      <c r="AE109" s="152"/>
      <c r="AF109" s="152"/>
      <c r="AG109" s="152"/>
      <c r="AH109" s="152"/>
      <c r="AI109" s="152"/>
      <c r="AJ109" s="152"/>
      <c r="AK109" s="152"/>
      <c r="AL109" s="152"/>
      <c r="AM109" s="152"/>
    </row>
    <row r="110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52"/>
      <c r="AE110" s="152"/>
      <c r="AF110" s="152"/>
      <c r="AG110" s="152"/>
      <c r="AH110" s="152"/>
      <c r="AI110" s="152"/>
      <c r="AJ110" s="152"/>
      <c r="AK110" s="152"/>
      <c r="AL110" s="152"/>
      <c r="AM110" s="152"/>
    </row>
    <row r="111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  <c r="AB111" s="152"/>
      <c r="AC111" s="152"/>
      <c r="AD111" s="152"/>
      <c r="AE111" s="152"/>
      <c r="AF111" s="152"/>
      <c r="AG111" s="152"/>
      <c r="AH111" s="152"/>
      <c r="AI111" s="152"/>
      <c r="AJ111" s="152"/>
      <c r="AK111" s="152"/>
      <c r="AL111" s="152"/>
      <c r="AM111" s="152"/>
    </row>
    <row r="112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52"/>
      <c r="AD112" s="152"/>
      <c r="AE112" s="152"/>
      <c r="AF112" s="152"/>
      <c r="AG112" s="152"/>
      <c r="AH112" s="152"/>
      <c r="AI112" s="152"/>
      <c r="AJ112" s="152"/>
      <c r="AK112" s="152"/>
      <c r="AL112" s="152"/>
      <c r="AM112" s="152"/>
    </row>
    <row r="113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  <c r="AB113" s="152"/>
      <c r="AC113" s="152"/>
      <c r="AD113" s="152"/>
      <c r="AE113" s="152"/>
      <c r="AF113" s="152"/>
      <c r="AG113" s="152"/>
      <c r="AH113" s="152"/>
      <c r="AI113" s="152"/>
      <c r="AJ113" s="152"/>
      <c r="AK113" s="152"/>
      <c r="AL113" s="152"/>
      <c r="AM113" s="152"/>
    </row>
    <row r="114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  <c r="AA114" s="152"/>
      <c r="AB114" s="152"/>
      <c r="AC114" s="152"/>
      <c r="AD114" s="152"/>
      <c r="AE114" s="152"/>
      <c r="AF114" s="152"/>
      <c r="AG114" s="152"/>
      <c r="AH114" s="152"/>
      <c r="AI114" s="152"/>
      <c r="AJ114" s="152"/>
      <c r="AK114" s="152"/>
      <c r="AL114" s="152"/>
      <c r="AM114" s="152"/>
    </row>
    <row r="11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52"/>
      <c r="AE115" s="152"/>
      <c r="AF115" s="152"/>
      <c r="AG115" s="152"/>
      <c r="AH115" s="152"/>
      <c r="AI115" s="152"/>
      <c r="AJ115" s="152"/>
      <c r="AK115" s="152"/>
      <c r="AL115" s="152"/>
      <c r="AM115" s="152"/>
    </row>
    <row r="116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52"/>
      <c r="AE116" s="152"/>
      <c r="AF116" s="152"/>
      <c r="AG116" s="152"/>
      <c r="AH116" s="152"/>
      <c r="AI116" s="152"/>
      <c r="AJ116" s="152"/>
      <c r="AK116" s="152"/>
      <c r="AL116" s="152"/>
      <c r="AM116" s="152"/>
    </row>
    <row r="117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52"/>
      <c r="AE117" s="152"/>
      <c r="AF117" s="152"/>
      <c r="AG117" s="152"/>
      <c r="AH117" s="152"/>
      <c r="AI117" s="152"/>
      <c r="AJ117" s="152"/>
      <c r="AK117" s="152"/>
      <c r="AL117" s="152"/>
      <c r="AM117" s="152"/>
    </row>
    <row r="118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  <c r="AA118" s="152"/>
      <c r="AB118" s="152"/>
      <c r="AC118" s="152"/>
      <c r="AD118" s="152"/>
      <c r="AE118" s="152"/>
      <c r="AF118" s="152"/>
      <c r="AG118" s="152"/>
      <c r="AH118" s="152"/>
      <c r="AI118" s="152"/>
      <c r="AJ118" s="152"/>
      <c r="AK118" s="152"/>
      <c r="AL118" s="152"/>
      <c r="AM118" s="152"/>
    </row>
    <row r="119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52"/>
      <c r="AE119" s="152"/>
      <c r="AF119" s="152"/>
      <c r="AG119" s="152"/>
      <c r="AH119" s="152"/>
      <c r="AI119" s="152"/>
      <c r="AJ119" s="152"/>
      <c r="AK119" s="152"/>
      <c r="AL119" s="152"/>
      <c r="AM119" s="152"/>
    </row>
    <row r="120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  <c r="AA120" s="152"/>
      <c r="AB120" s="152"/>
      <c r="AC120" s="152"/>
      <c r="AD120" s="152"/>
      <c r="AE120" s="152"/>
      <c r="AF120" s="152"/>
      <c r="AG120" s="152"/>
      <c r="AH120" s="152"/>
      <c r="AI120" s="152"/>
      <c r="AJ120" s="152"/>
      <c r="AK120" s="152"/>
      <c r="AL120" s="152"/>
      <c r="AM120" s="152"/>
    </row>
    <row r="121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  <c r="AB121" s="152"/>
      <c r="AC121" s="152"/>
      <c r="AD121" s="152"/>
      <c r="AE121" s="152"/>
      <c r="AF121" s="152"/>
      <c r="AG121" s="152"/>
      <c r="AH121" s="152"/>
      <c r="AI121" s="152"/>
      <c r="AJ121" s="152"/>
      <c r="AK121" s="152"/>
      <c r="AL121" s="152"/>
      <c r="AM121" s="152"/>
    </row>
    <row r="122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  <c r="AB122" s="152"/>
      <c r="AC122" s="152"/>
      <c r="AD122" s="152"/>
      <c r="AE122" s="152"/>
      <c r="AF122" s="152"/>
      <c r="AG122" s="152"/>
      <c r="AH122" s="152"/>
      <c r="AI122" s="152"/>
      <c r="AJ122" s="152"/>
      <c r="AK122" s="152"/>
      <c r="AL122" s="152"/>
      <c r="AM122" s="152"/>
    </row>
    <row r="123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  <c r="AA123" s="152"/>
      <c r="AB123" s="152"/>
      <c r="AC123" s="152"/>
      <c r="AD123" s="152"/>
      <c r="AE123" s="152"/>
      <c r="AF123" s="152"/>
      <c r="AG123" s="152"/>
      <c r="AH123" s="152"/>
      <c r="AI123" s="152"/>
      <c r="AJ123" s="152"/>
      <c r="AK123" s="152"/>
      <c r="AL123" s="152"/>
      <c r="AM123" s="152"/>
    </row>
    <row r="124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  <c r="AA124" s="152"/>
      <c r="AB124" s="152"/>
      <c r="AC124" s="152"/>
      <c r="AD124" s="152"/>
      <c r="AE124" s="152"/>
      <c r="AF124" s="152"/>
      <c r="AG124" s="152"/>
      <c r="AH124" s="152"/>
      <c r="AI124" s="152"/>
      <c r="AJ124" s="152"/>
      <c r="AK124" s="152"/>
      <c r="AL124" s="152"/>
      <c r="AM124" s="152"/>
    </row>
    <row r="1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  <c r="AA125" s="152"/>
      <c r="AB125" s="152"/>
      <c r="AC125" s="152"/>
      <c r="AD125" s="152"/>
      <c r="AE125" s="152"/>
      <c r="AF125" s="152"/>
      <c r="AG125" s="152"/>
      <c r="AH125" s="152"/>
      <c r="AI125" s="152"/>
      <c r="AJ125" s="152"/>
      <c r="AK125" s="152"/>
      <c r="AL125" s="152"/>
      <c r="AM125" s="152"/>
    </row>
    <row r="126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  <c r="AB126" s="152"/>
      <c r="AC126" s="152"/>
      <c r="AD126" s="152"/>
      <c r="AE126" s="152"/>
      <c r="AF126" s="152"/>
      <c r="AG126" s="152"/>
      <c r="AH126" s="152"/>
      <c r="AI126" s="152"/>
      <c r="AJ126" s="152"/>
      <c r="AK126" s="152"/>
      <c r="AL126" s="152"/>
      <c r="AM126" s="152"/>
    </row>
    <row r="127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  <c r="AA127" s="152"/>
      <c r="AB127" s="152"/>
      <c r="AC127" s="152"/>
      <c r="AD127" s="152"/>
      <c r="AE127" s="152"/>
      <c r="AF127" s="152"/>
      <c r="AG127" s="152"/>
      <c r="AH127" s="152"/>
      <c r="AI127" s="152"/>
      <c r="AJ127" s="152"/>
      <c r="AK127" s="152"/>
      <c r="AL127" s="152"/>
      <c r="AM127" s="152"/>
    </row>
    <row r="128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  <c r="AA128" s="152"/>
      <c r="AB128" s="152"/>
      <c r="AC128" s="152"/>
      <c r="AD128" s="152"/>
      <c r="AE128" s="152"/>
      <c r="AF128" s="152"/>
      <c r="AG128" s="152"/>
      <c r="AH128" s="152"/>
      <c r="AI128" s="152"/>
      <c r="AJ128" s="152"/>
      <c r="AK128" s="152"/>
      <c r="AL128" s="152"/>
      <c r="AM128" s="152"/>
    </row>
    <row r="129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  <c r="AA129" s="152"/>
      <c r="AB129" s="152"/>
      <c r="AC129" s="152"/>
      <c r="AD129" s="152"/>
      <c r="AE129" s="152"/>
      <c r="AF129" s="152"/>
      <c r="AG129" s="152"/>
      <c r="AH129" s="152"/>
      <c r="AI129" s="152"/>
      <c r="AJ129" s="152"/>
      <c r="AK129" s="152"/>
      <c r="AL129" s="152"/>
      <c r="AM129" s="152"/>
    </row>
    <row r="130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  <c r="AB130" s="152"/>
      <c r="AC130" s="152"/>
      <c r="AD130" s="152"/>
      <c r="AE130" s="152"/>
      <c r="AF130" s="152"/>
      <c r="AG130" s="152"/>
      <c r="AH130" s="152"/>
      <c r="AI130" s="152"/>
      <c r="AJ130" s="152"/>
      <c r="AK130" s="152"/>
      <c r="AL130" s="152"/>
      <c r="AM130" s="152"/>
    </row>
    <row r="131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  <c r="AA131" s="152"/>
      <c r="AB131" s="152"/>
      <c r="AC131" s="152"/>
      <c r="AD131" s="152"/>
      <c r="AE131" s="152"/>
      <c r="AF131" s="152"/>
      <c r="AG131" s="152"/>
      <c r="AH131" s="152"/>
      <c r="AI131" s="152"/>
      <c r="AJ131" s="152"/>
      <c r="AK131" s="152"/>
      <c r="AL131" s="152"/>
      <c r="AM131" s="152"/>
    </row>
    <row r="132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  <c r="AA132" s="152"/>
      <c r="AB132" s="152"/>
      <c r="AC132" s="152"/>
      <c r="AD132" s="152"/>
      <c r="AE132" s="152"/>
      <c r="AF132" s="152"/>
      <c r="AG132" s="152"/>
      <c r="AH132" s="152"/>
      <c r="AI132" s="152"/>
      <c r="AJ132" s="152"/>
      <c r="AK132" s="152"/>
      <c r="AL132" s="152"/>
      <c r="AM132" s="152"/>
    </row>
    <row r="133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  <c r="AA133" s="152"/>
      <c r="AB133" s="152"/>
      <c r="AC133" s="152"/>
      <c r="AD133" s="152"/>
      <c r="AE133" s="152"/>
      <c r="AF133" s="152"/>
      <c r="AG133" s="152"/>
      <c r="AH133" s="152"/>
      <c r="AI133" s="152"/>
      <c r="AJ133" s="152"/>
      <c r="AK133" s="152"/>
      <c r="AL133" s="152"/>
      <c r="AM133" s="152"/>
    </row>
    <row r="134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  <c r="AA134" s="152"/>
      <c r="AB134" s="152"/>
      <c r="AC134" s="152"/>
      <c r="AD134" s="152"/>
      <c r="AE134" s="152"/>
      <c r="AF134" s="152"/>
      <c r="AG134" s="152"/>
      <c r="AH134" s="152"/>
      <c r="AI134" s="152"/>
      <c r="AJ134" s="152"/>
      <c r="AK134" s="152"/>
      <c r="AL134" s="152"/>
      <c r="AM134" s="152"/>
    </row>
    <row r="13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  <c r="AA135" s="152"/>
      <c r="AB135" s="152"/>
      <c r="AC135" s="152"/>
      <c r="AD135" s="152"/>
      <c r="AE135" s="152"/>
      <c r="AF135" s="152"/>
      <c r="AG135" s="152"/>
      <c r="AH135" s="152"/>
      <c r="AI135" s="152"/>
      <c r="AJ135" s="152"/>
      <c r="AK135" s="152"/>
      <c r="AL135" s="152"/>
      <c r="AM135" s="152"/>
    </row>
    <row r="136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  <c r="AA136" s="152"/>
      <c r="AB136" s="152"/>
      <c r="AC136" s="152"/>
      <c r="AD136" s="152"/>
      <c r="AE136" s="152"/>
      <c r="AF136" s="152"/>
      <c r="AG136" s="152"/>
      <c r="AH136" s="152"/>
      <c r="AI136" s="152"/>
      <c r="AJ136" s="152"/>
      <c r="AK136" s="152"/>
      <c r="AL136" s="152"/>
      <c r="AM136" s="152"/>
    </row>
    <row r="137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2"/>
      <c r="AG137" s="152"/>
      <c r="AH137" s="152"/>
      <c r="AI137" s="152"/>
      <c r="AJ137" s="152"/>
      <c r="AK137" s="152"/>
      <c r="AL137" s="152"/>
      <c r="AM137" s="152"/>
    </row>
    <row r="138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  <c r="AA138" s="152"/>
      <c r="AB138" s="152"/>
      <c r="AC138" s="152"/>
      <c r="AD138" s="152"/>
      <c r="AE138" s="152"/>
      <c r="AF138" s="152"/>
      <c r="AG138" s="152"/>
      <c r="AH138" s="152"/>
      <c r="AI138" s="152"/>
      <c r="AJ138" s="152"/>
      <c r="AK138" s="152"/>
      <c r="AL138" s="152"/>
      <c r="AM138" s="152"/>
    </row>
    <row r="139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  <c r="AA139" s="152"/>
      <c r="AB139" s="152"/>
      <c r="AC139" s="152"/>
      <c r="AD139" s="152"/>
      <c r="AE139" s="152"/>
      <c r="AF139" s="152"/>
      <c r="AG139" s="152"/>
      <c r="AH139" s="152"/>
      <c r="AI139" s="152"/>
      <c r="AJ139" s="152"/>
      <c r="AK139" s="152"/>
      <c r="AL139" s="152"/>
      <c r="AM139" s="152"/>
    </row>
    <row r="140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  <c r="AA140" s="152"/>
      <c r="AB140" s="152"/>
      <c r="AC140" s="152"/>
      <c r="AD140" s="152"/>
      <c r="AE140" s="152"/>
      <c r="AF140" s="152"/>
      <c r="AG140" s="152"/>
      <c r="AH140" s="152"/>
      <c r="AI140" s="152"/>
      <c r="AJ140" s="152"/>
      <c r="AK140" s="152"/>
      <c r="AL140" s="152"/>
      <c r="AM140" s="152"/>
    </row>
    <row r="141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  <c r="AA141" s="152"/>
      <c r="AB141" s="152"/>
      <c r="AC141" s="152"/>
      <c r="AD141" s="152"/>
      <c r="AE141" s="152"/>
      <c r="AF141" s="152"/>
      <c r="AG141" s="152"/>
      <c r="AH141" s="152"/>
      <c r="AI141" s="152"/>
      <c r="AJ141" s="152"/>
      <c r="AK141" s="152"/>
      <c r="AL141" s="152"/>
      <c r="AM141" s="152"/>
    </row>
    <row r="142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  <c r="AA142" s="152"/>
      <c r="AB142" s="152"/>
      <c r="AC142" s="152"/>
      <c r="AD142" s="152"/>
      <c r="AE142" s="152"/>
      <c r="AF142" s="152"/>
      <c r="AG142" s="152"/>
      <c r="AH142" s="152"/>
      <c r="AI142" s="152"/>
      <c r="AJ142" s="152"/>
      <c r="AK142" s="152"/>
      <c r="AL142" s="152"/>
      <c r="AM142" s="152"/>
    </row>
    <row r="143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  <c r="AA143" s="152"/>
      <c r="AB143" s="152"/>
      <c r="AC143" s="152"/>
      <c r="AD143" s="152"/>
      <c r="AE143" s="152"/>
      <c r="AF143" s="152"/>
      <c r="AG143" s="152"/>
      <c r="AH143" s="152"/>
      <c r="AI143" s="152"/>
      <c r="AJ143" s="152"/>
      <c r="AK143" s="152"/>
      <c r="AL143" s="152"/>
      <c r="AM143" s="152"/>
    </row>
    <row r="144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  <c r="AA144" s="152"/>
      <c r="AB144" s="152"/>
      <c r="AC144" s="152"/>
      <c r="AD144" s="152"/>
      <c r="AE144" s="152"/>
      <c r="AF144" s="152"/>
      <c r="AG144" s="152"/>
      <c r="AH144" s="152"/>
      <c r="AI144" s="152"/>
      <c r="AJ144" s="152"/>
      <c r="AK144" s="152"/>
      <c r="AL144" s="152"/>
      <c r="AM144" s="152"/>
    </row>
    <row r="14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  <c r="AA145" s="152"/>
      <c r="AB145" s="152"/>
      <c r="AC145" s="152"/>
      <c r="AD145" s="152"/>
      <c r="AE145" s="152"/>
      <c r="AF145" s="152"/>
      <c r="AG145" s="152"/>
      <c r="AH145" s="152"/>
      <c r="AI145" s="152"/>
      <c r="AJ145" s="152"/>
      <c r="AK145" s="152"/>
      <c r="AL145" s="152"/>
      <c r="AM145" s="152"/>
    </row>
    <row r="146">
      <c r="A146" s="152"/>
      <c r="B146" s="152"/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  <c r="AA146" s="152"/>
      <c r="AB146" s="152"/>
      <c r="AC146" s="152"/>
      <c r="AD146" s="152"/>
      <c r="AE146" s="152"/>
      <c r="AF146" s="152"/>
      <c r="AG146" s="152"/>
      <c r="AH146" s="152"/>
      <c r="AI146" s="152"/>
      <c r="AJ146" s="152"/>
      <c r="AK146" s="152"/>
      <c r="AL146" s="152"/>
      <c r="AM146" s="152"/>
    </row>
    <row r="147">
      <c r="A147" s="152"/>
      <c r="B147" s="152"/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  <c r="AA147" s="152"/>
      <c r="AB147" s="152"/>
      <c r="AC147" s="152"/>
      <c r="AD147" s="152"/>
      <c r="AE147" s="152"/>
      <c r="AF147" s="152"/>
      <c r="AG147" s="152"/>
      <c r="AH147" s="152"/>
      <c r="AI147" s="152"/>
      <c r="AJ147" s="152"/>
      <c r="AK147" s="152"/>
      <c r="AL147" s="152"/>
      <c r="AM147" s="152"/>
    </row>
    <row r="148">
      <c r="A148" s="152"/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  <c r="AA148" s="152"/>
      <c r="AB148" s="152"/>
      <c r="AC148" s="152"/>
      <c r="AD148" s="152"/>
      <c r="AE148" s="152"/>
      <c r="AF148" s="152"/>
      <c r="AG148" s="152"/>
      <c r="AH148" s="152"/>
      <c r="AI148" s="152"/>
      <c r="AJ148" s="152"/>
      <c r="AK148" s="152"/>
      <c r="AL148" s="152"/>
      <c r="AM148" s="152"/>
    </row>
    <row r="149">
      <c r="A149" s="152"/>
      <c r="B149" s="152"/>
      <c r="C149" s="152"/>
      <c r="D149" s="152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  <c r="AA149" s="152"/>
      <c r="AB149" s="152"/>
      <c r="AC149" s="152"/>
      <c r="AD149" s="152"/>
      <c r="AE149" s="152"/>
      <c r="AF149" s="152"/>
      <c r="AG149" s="152"/>
      <c r="AH149" s="152"/>
      <c r="AI149" s="152"/>
      <c r="AJ149" s="152"/>
      <c r="AK149" s="152"/>
      <c r="AL149" s="152"/>
      <c r="AM149" s="152"/>
    </row>
    <row r="150">
      <c r="A150" s="152"/>
      <c r="B150" s="152"/>
      <c r="C150" s="152"/>
      <c r="D150" s="152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  <c r="AA150" s="152"/>
      <c r="AB150" s="152"/>
      <c r="AC150" s="152"/>
      <c r="AD150" s="152"/>
      <c r="AE150" s="152"/>
      <c r="AF150" s="152"/>
      <c r="AG150" s="152"/>
      <c r="AH150" s="152"/>
      <c r="AI150" s="152"/>
      <c r="AJ150" s="152"/>
      <c r="AK150" s="152"/>
      <c r="AL150" s="152"/>
      <c r="AM150" s="152"/>
    </row>
    <row r="151">
      <c r="A151" s="152"/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  <c r="AA151" s="152"/>
      <c r="AB151" s="152"/>
      <c r="AC151" s="152"/>
      <c r="AD151" s="152"/>
      <c r="AE151" s="152"/>
      <c r="AF151" s="152"/>
      <c r="AG151" s="152"/>
      <c r="AH151" s="152"/>
      <c r="AI151" s="152"/>
      <c r="AJ151" s="152"/>
      <c r="AK151" s="152"/>
      <c r="AL151" s="152"/>
      <c r="AM151" s="152"/>
    </row>
    <row r="152">
      <c r="A152" s="152"/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  <c r="AA152" s="152"/>
      <c r="AB152" s="152"/>
      <c r="AC152" s="152"/>
      <c r="AD152" s="152"/>
      <c r="AE152" s="152"/>
      <c r="AF152" s="152"/>
      <c r="AG152" s="152"/>
      <c r="AH152" s="152"/>
      <c r="AI152" s="152"/>
      <c r="AJ152" s="152"/>
      <c r="AK152" s="152"/>
      <c r="AL152" s="152"/>
      <c r="AM152" s="152"/>
    </row>
    <row r="153">
      <c r="A153" s="152"/>
      <c r="B153" s="152"/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  <c r="AA153" s="152"/>
      <c r="AB153" s="152"/>
      <c r="AC153" s="152"/>
      <c r="AD153" s="152"/>
      <c r="AE153" s="152"/>
      <c r="AF153" s="152"/>
      <c r="AG153" s="152"/>
      <c r="AH153" s="152"/>
      <c r="AI153" s="152"/>
      <c r="AJ153" s="152"/>
      <c r="AK153" s="152"/>
      <c r="AL153" s="152"/>
      <c r="AM153" s="152"/>
    </row>
    <row r="154">
      <c r="A154" s="152"/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  <c r="AA154" s="152"/>
      <c r="AB154" s="152"/>
      <c r="AC154" s="152"/>
      <c r="AD154" s="152"/>
      <c r="AE154" s="152"/>
      <c r="AF154" s="152"/>
      <c r="AG154" s="152"/>
      <c r="AH154" s="152"/>
      <c r="AI154" s="152"/>
      <c r="AJ154" s="152"/>
      <c r="AK154" s="152"/>
      <c r="AL154" s="152"/>
      <c r="AM154" s="152"/>
    </row>
    <row r="155">
      <c r="A155" s="152"/>
      <c r="B155" s="152"/>
      <c r="C155" s="152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  <c r="AD155" s="152"/>
      <c r="AE155" s="152"/>
      <c r="AF155" s="152"/>
      <c r="AG155" s="152"/>
      <c r="AH155" s="152"/>
      <c r="AI155" s="152"/>
      <c r="AJ155" s="152"/>
      <c r="AK155" s="152"/>
      <c r="AL155" s="152"/>
      <c r="AM155" s="152"/>
    </row>
    <row r="156">
      <c r="A156" s="152"/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  <c r="AD156" s="152"/>
      <c r="AE156" s="152"/>
      <c r="AF156" s="152"/>
      <c r="AG156" s="152"/>
      <c r="AH156" s="152"/>
      <c r="AI156" s="152"/>
      <c r="AJ156" s="152"/>
      <c r="AK156" s="152"/>
      <c r="AL156" s="152"/>
      <c r="AM156" s="152"/>
    </row>
    <row r="157">
      <c r="A157" s="152"/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  <c r="AD157" s="152"/>
      <c r="AE157" s="152"/>
      <c r="AF157" s="152"/>
      <c r="AG157" s="152"/>
      <c r="AH157" s="152"/>
      <c r="AI157" s="152"/>
      <c r="AJ157" s="152"/>
      <c r="AK157" s="152"/>
      <c r="AL157" s="152"/>
      <c r="AM157" s="152"/>
    </row>
    <row r="158">
      <c r="A158" s="152"/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2"/>
      <c r="AH158" s="152"/>
      <c r="AI158" s="152"/>
      <c r="AJ158" s="152"/>
      <c r="AK158" s="152"/>
      <c r="AL158" s="152"/>
      <c r="AM158" s="152"/>
    </row>
    <row r="159">
      <c r="A159" s="152"/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2"/>
      <c r="AH159" s="152"/>
      <c r="AI159" s="152"/>
      <c r="AJ159" s="152"/>
      <c r="AK159" s="152"/>
      <c r="AL159" s="152"/>
      <c r="AM159" s="152"/>
    </row>
    <row r="160">
      <c r="A160" s="152"/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2"/>
      <c r="AH160" s="152"/>
      <c r="AI160" s="152"/>
      <c r="AJ160" s="152"/>
      <c r="AK160" s="152"/>
      <c r="AL160" s="152"/>
      <c r="AM160" s="152"/>
    </row>
    <row r="161">
      <c r="A161" s="152"/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2"/>
      <c r="AH161" s="152"/>
      <c r="AI161" s="152"/>
      <c r="AJ161" s="152"/>
      <c r="AK161" s="152"/>
      <c r="AL161" s="152"/>
      <c r="AM161" s="152"/>
    </row>
    <row r="162">
      <c r="A162" s="152"/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2"/>
      <c r="AH162" s="152"/>
      <c r="AI162" s="152"/>
      <c r="AJ162" s="152"/>
      <c r="AK162" s="152"/>
      <c r="AL162" s="152"/>
      <c r="AM162" s="152"/>
    </row>
    <row r="163">
      <c r="A163" s="152"/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2"/>
      <c r="AH163" s="152"/>
      <c r="AI163" s="152"/>
      <c r="AJ163" s="152"/>
      <c r="AK163" s="152"/>
      <c r="AL163" s="152"/>
      <c r="AM163" s="152"/>
    </row>
    <row r="164">
      <c r="A164" s="152"/>
      <c r="B164" s="152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2"/>
      <c r="AH164" s="152"/>
      <c r="AI164" s="152"/>
      <c r="AJ164" s="152"/>
      <c r="AK164" s="152"/>
      <c r="AL164" s="152"/>
      <c r="AM164" s="152"/>
    </row>
    <row r="165">
      <c r="A165" s="152"/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2"/>
      <c r="AH165" s="152"/>
      <c r="AI165" s="152"/>
      <c r="AJ165" s="152"/>
      <c r="AK165" s="152"/>
      <c r="AL165" s="152"/>
      <c r="AM165" s="152"/>
    </row>
    <row r="166">
      <c r="A166" s="152"/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2"/>
      <c r="AH166" s="152"/>
      <c r="AI166" s="152"/>
      <c r="AJ166" s="152"/>
      <c r="AK166" s="152"/>
      <c r="AL166" s="152"/>
      <c r="AM166" s="152"/>
    </row>
    <row r="167">
      <c r="A167" s="152"/>
      <c r="B167" s="152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2"/>
      <c r="AH167" s="152"/>
      <c r="AI167" s="152"/>
      <c r="AJ167" s="152"/>
      <c r="AK167" s="152"/>
      <c r="AL167" s="152"/>
      <c r="AM167" s="152"/>
    </row>
    <row r="168">
      <c r="A168" s="152"/>
      <c r="B168" s="152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2"/>
      <c r="AH168" s="152"/>
      <c r="AI168" s="152"/>
      <c r="AJ168" s="152"/>
      <c r="AK168" s="152"/>
      <c r="AL168" s="152"/>
      <c r="AM168" s="152"/>
    </row>
    <row r="169">
      <c r="A169" s="152"/>
      <c r="B169" s="152"/>
      <c r="C169" s="152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2"/>
      <c r="AH169" s="152"/>
      <c r="AI169" s="152"/>
      <c r="AJ169" s="152"/>
      <c r="AK169" s="152"/>
      <c r="AL169" s="152"/>
      <c r="AM169" s="152"/>
    </row>
    <row r="170">
      <c r="A170" s="152"/>
      <c r="B170" s="152"/>
      <c r="C170" s="152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2"/>
      <c r="AH170" s="152"/>
      <c r="AI170" s="152"/>
      <c r="AJ170" s="152"/>
      <c r="AK170" s="152"/>
      <c r="AL170" s="152"/>
      <c r="AM170" s="152"/>
    </row>
    <row r="171">
      <c r="A171" s="152"/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2"/>
      <c r="AH171" s="152"/>
      <c r="AI171" s="152"/>
      <c r="AJ171" s="152"/>
      <c r="AK171" s="152"/>
      <c r="AL171" s="152"/>
      <c r="AM171" s="152"/>
    </row>
    <row r="172">
      <c r="A172" s="152"/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2"/>
      <c r="AH172" s="152"/>
      <c r="AI172" s="152"/>
      <c r="AJ172" s="152"/>
      <c r="AK172" s="152"/>
      <c r="AL172" s="152"/>
      <c r="AM172" s="152"/>
    </row>
    <row r="173">
      <c r="A173" s="152"/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2"/>
      <c r="AH173" s="152"/>
      <c r="AI173" s="152"/>
      <c r="AJ173" s="152"/>
      <c r="AK173" s="152"/>
      <c r="AL173" s="152"/>
      <c r="AM173" s="152"/>
    </row>
    <row r="174">
      <c r="A174" s="152"/>
      <c r="B174" s="152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2"/>
      <c r="AH174" s="152"/>
      <c r="AI174" s="152"/>
      <c r="AJ174" s="152"/>
      <c r="AK174" s="152"/>
      <c r="AL174" s="152"/>
      <c r="AM174" s="152"/>
    </row>
    <row r="175">
      <c r="A175" s="152"/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2"/>
      <c r="AH175" s="152"/>
      <c r="AI175" s="152"/>
      <c r="AJ175" s="152"/>
      <c r="AK175" s="152"/>
      <c r="AL175" s="152"/>
      <c r="AM175" s="152"/>
    </row>
    <row r="176">
      <c r="A176" s="152"/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2"/>
      <c r="AH176" s="152"/>
      <c r="AI176" s="152"/>
      <c r="AJ176" s="152"/>
      <c r="AK176" s="152"/>
      <c r="AL176" s="152"/>
      <c r="AM176" s="152"/>
    </row>
    <row r="177">
      <c r="A177" s="152"/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2"/>
      <c r="AH177" s="152"/>
      <c r="AI177" s="152"/>
      <c r="AJ177" s="152"/>
      <c r="AK177" s="152"/>
      <c r="AL177" s="152"/>
      <c r="AM177" s="152"/>
    </row>
    <row r="178">
      <c r="A178" s="152"/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2"/>
      <c r="AH178" s="152"/>
      <c r="AI178" s="152"/>
      <c r="AJ178" s="152"/>
      <c r="AK178" s="152"/>
      <c r="AL178" s="152"/>
      <c r="AM178" s="152"/>
    </row>
    <row r="179">
      <c r="A179" s="152"/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2"/>
      <c r="AH179" s="152"/>
      <c r="AI179" s="152"/>
      <c r="AJ179" s="152"/>
      <c r="AK179" s="152"/>
      <c r="AL179" s="152"/>
      <c r="AM179" s="152"/>
    </row>
    <row r="180">
      <c r="A180" s="152"/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2"/>
      <c r="AH180" s="152"/>
      <c r="AI180" s="152"/>
      <c r="AJ180" s="152"/>
      <c r="AK180" s="152"/>
      <c r="AL180" s="152"/>
      <c r="AM180" s="152"/>
    </row>
    <row r="181">
      <c r="A181" s="152"/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2"/>
      <c r="AH181" s="152"/>
      <c r="AI181" s="152"/>
      <c r="AJ181" s="152"/>
      <c r="AK181" s="152"/>
      <c r="AL181" s="152"/>
      <c r="AM181" s="152"/>
    </row>
    <row r="182">
      <c r="A182" s="152"/>
      <c r="B182" s="152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2"/>
      <c r="AH182" s="152"/>
      <c r="AI182" s="152"/>
      <c r="AJ182" s="152"/>
      <c r="AK182" s="152"/>
      <c r="AL182" s="152"/>
      <c r="AM182" s="152"/>
    </row>
    <row r="183">
      <c r="A183" s="152"/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2"/>
      <c r="AH183" s="152"/>
      <c r="AI183" s="152"/>
      <c r="AJ183" s="152"/>
      <c r="AK183" s="152"/>
      <c r="AL183" s="152"/>
      <c r="AM183" s="152"/>
    </row>
    <row r="184">
      <c r="A184" s="152"/>
      <c r="B184" s="152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2"/>
      <c r="AH184" s="152"/>
      <c r="AI184" s="152"/>
      <c r="AJ184" s="152"/>
      <c r="AK184" s="152"/>
      <c r="AL184" s="152"/>
      <c r="AM184" s="152"/>
    </row>
    <row r="185">
      <c r="A185" s="152"/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2"/>
      <c r="AH185" s="152"/>
      <c r="AI185" s="152"/>
      <c r="AJ185" s="152"/>
      <c r="AK185" s="152"/>
      <c r="AL185" s="152"/>
      <c r="AM185" s="152"/>
    </row>
    <row r="186">
      <c r="A186" s="152"/>
      <c r="B186" s="152"/>
      <c r="C186" s="152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2"/>
      <c r="AH186" s="152"/>
      <c r="AI186" s="152"/>
      <c r="AJ186" s="152"/>
      <c r="AK186" s="152"/>
      <c r="AL186" s="152"/>
      <c r="AM186" s="152"/>
    </row>
    <row r="187">
      <c r="A187" s="152"/>
      <c r="B187" s="152"/>
      <c r="C187" s="152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2"/>
      <c r="AH187" s="152"/>
      <c r="AI187" s="152"/>
      <c r="AJ187" s="152"/>
      <c r="AK187" s="152"/>
      <c r="AL187" s="152"/>
      <c r="AM187" s="152"/>
    </row>
    <row r="188">
      <c r="A188" s="152"/>
      <c r="B188" s="152"/>
      <c r="C188" s="152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2"/>
      <c r="AH188" s="152"/>
      <c r="AI188" s="152"/>
      <c r="AJ188" s="152"/>
      <c r="AK188" s="152"/>
      <c r="AL188" s="152"/>
      <c r="AM188" s="152"/>
    </row>
    <row r="189">
      <c r="A189" s="152"/>
      <c r="B189" s="152"/>
      <c r="C189" s="152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2"/>
      <c r="AH189" s="152"/>
      <c r="AI189" s="152"/>
      <c r="AJ189" s="152"/>
      <c r="AK189" s="152"/>
      <c r="AL189" s="152"/>
      <c r="AM189" s="152"/>
    </row>
    <row r="190">
      <c r="A190" s="152"/>
      <c r="B190" s="152"/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2"/>
      <c r="AH190" s="152"/>
      <c r="AI190" s="152"/>
      <c r="AJ190" s="152"/>
      <c r="AK190" s="152"/>
      <c r="AL190" s="152"/>
      <c r="AM190" s="152"/>
    </row>
    <row r="191">
      <c r="A191" s="152"/>
      <c r="B191" s="152"/>
      <c r="C191" s="152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2"/>
      <c r="AH191" s="152"/>
      <c r="AI191" s="152"/>
      <c r="AJ191" s="152"/>
      <c r="AK191" s="152"/>
      <c r="AL191" s="152"/>
      <c r="AM191" s="152"/>
    </row>
    <row r="192">
      <c r="A192" s="152"/>
      <c r="B192" s="152"/>
      <c r="C192" s="152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2"/>
      <c r="AH192" s="152"/>
      <c r="AI192" s="152"/>
      <c r="AJ192" s="152"/>
      <c r="AK192" s="152"/>
      <c r="AL192" s="152"/>
      <c r="AM192" s="152"/>
    </row>
    <row r="193">
      <c r="A193" s="152"/>
      <c r="B193" s="152"/>
      <c r="C193" s="152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2"/>
      <c r="AH193" s="152"/>
      <c r="AI193" s="152"/>
      <c r="AJ193" s="152"/>
      <c r="AK193" s="152"/>
      <c r="AL193" s="152"/>
      <c r="AM193" s="152"/>
    </row>
    <row r="194">
      <c r="A194" s="152"/>
      <c r="B194" s="152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2"/>
      <c r="AH194" s="152"/>
      <c r="AI194" s="152"/>
      <c r="AJ194" s="152"/>
      <c r="AK194" s="152"/>
      <c r="AL194" s="152"/>
      <c r="AM194" s="152"/>
    </row>
    <row r="195">
      <c r="A195" s="152"/>
      <c r="B195" s="152"/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2"/>
      <c r="AH195" s="152"/>
      <c r="AI195" s="152"/>
      <c r="AJ195" s="152"/>
      <c r="AK195" s="152"/>
      <c r="AL195" s="152"/>
      <c r="AM195" s="152"/>
    </row>
    <row r="196">
      <c r="A196" s="152"/>
      <c r="B196" s="152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2"/>
      <c r="AH196" s="152"/>
      <c r="AI196" s="152"/>
      <c r="AJ196" s="152"/>
      <c r="AK196" s="152"/>
      <c r="AL196" s="152"/>
      <c r="AM196" s="152"/>
    </row>
    <row r="197">
      <c r="A197" s="152"/>
      <c r="B197" s="152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2"/>
      <c r="AH197" s="152"/>
      <c r="AI197" s="152"/>
      <c r="AJ197" s="152"/>
      <c r="AK197" s="152"/>
      <c r="AL197" s="152"/>
      <c r="AM197" s="152"/>
    </row>
    <row r="198">
      <c r="A198" s="152"/>
      <c r="B198" s="152"/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2"/>
      <c r="AH198" s="152"/>
      <c r="AI198" s="152"/>
      <c r="AJ198" s="152"/>
      <c r="AK198" s="152"/>
      <c r="AL198" s="152"/>
      <c r="AM198" s="152"/>
    </row>
    <row r="199">
      <c r="A199" s="152"/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2"/>
      <c r="AH199" s="152"/>
      <c r="AI199" s="152"/>
      <c r="AJ199" s="152"/>
      <c r="AK199" s="152"/>
      <c r="AL199" s="152"/>
      <c r="AM199" s="152"/>
    </row>
    <row r="200">
      <c r="A200" s="152"/>
      <c r="B200" s="152"/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2"/>
      <c r="AH200" s="152"/>
      <c r="AI200" s="152"/>
      <c r="AJ200" s="152"/>
      <c r="AK200" s="152"/>
      <c r="AL200" s="152"/>
      <c r="AM200" s="152"/>
    </row>
    <row r="201">
      <c r="A201" s="152"/>
      <c r="B201" s="152"/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2"/>
      <c r="AH201" s="152"/>
      <c r="AI201" s="152"/>
      <c r="AJ201" s="152"/>
      <c r="AK201" s="152"/>
      <c r="AL201" s="152"/>
      <c r="AM201" s="152"/>
    </row>
    <row r="202">
      <c r="A202" s="152"/>
      <c r="B202" s="152"/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2"/>
      <c r="AH202" s="152"/>
      <c r="AI202" s="152"/>
      <c r="AJ202" s="152"/>
      <c r="AK202" s="152"/>
      <c r="AL202" s="152"/>
      <c r="AM202" s="152"/>
    </row>
    <row r="203">
      <c r="A203" s="152"/>
      <c r="B203" s="152"/>
      <c r="C203" s="152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2"/>
      <c r="AH203" s="152"/>
      <c r="AI203" s="152"/>
      <c r="AJ203" s="152"/>
      <c r="AK203" s="152"/>
      <c r="AL203" s="152"/>
      <c r="AM203" s="152"/>
    </row>
    <row r="204">
      <c r="A204" s="152"/>
      <c r="B204" s="152"/>
      <c r="C204" s="152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2"/>
      <c r="AH204" s="152"/>
      <c r="AI204" s="152"/>
      <c r="AJ204" s="152"/>
      <c r="AK204" s="152"/>
      <c r="AL204" s="152"/>
      <c r="AM204" s="152"/>
    </row>
    <row r="205">
      <c r="A205" s="152"/>
      <c r="B205" s="152"/>
      <c r="C205" s="152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2"/>
      <c r="AH205" s="152"/>
      <c r="AI205" s="152"/>
      <c r="AJ205" s="152"/>
      <c r="AK205" s="152"/>
      <c r="AL205" s="152"/>
      <c r="AM205" s="152"/>
    </row>
    <row r="206">
      <c r="A206" s="152"/>
      <c r="B206" s="152"/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2"/>
      <c r="AH206" s="152"/>
      <c r="AI206" s="152"/>
      <c r="AJ206" s="152"/>
      <c r="AK206" s="152"/>
      <c r="AL206" s="152"/>
      <c r="AM206" s="152"/>
    </row>
    <row r="207">
      <c r="A207" s="152"/>
      <c r="B207" s="152"/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2"/>
      <c r="AH207" s="152"/>
      <c r="AI207" s="152"/>
      <c r="AJ207" s="152"/>
      <c r="AK207" s="152"/>
      <c r="AL207" s="152"/>
      <c r="AM207" s="152"/>
    </row>
    <row r="208">
      <c r="A208" s="152"/>
      <c r="B208" s="152"/>
      <c r="C208" s="152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2"/>
      <c r="AH208" s="152"/>
      <c r="AI208" s="152"/>
      <c r="AJ208" s="152"/>
      <c r="AK208" s="152"/>
      <c r="AL208" s="152"/>
      <c r="AM208" s="152"/>
    </row>
    <row r="209">
      <c r="A209" s="152"/>
      <c r="B209" s="152"/>
      <c r="C209" s="152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2"/>
      <c r="AH209" s="152"/>
      <c r="AI209" s="152"/>
      <c r="AJ209" s="152"/>
      <c r="AK209" s="152"/>
      <c r="AL209" s="152"/>
      <c r="AM209" s="152"/>
    </row>
    <row r="210">
      <c r="A210" s="152"/>
      <c r="B210" s="152"/>
      <c r="C210" s="152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2"/>
      <c r="AH210" s="152"/>
      <c r="AI210" s="152"/>
      <c r="AJ210" s="152"/>
      <c r="AK210" s="152"/>
      <c r="AL210" s="152"/>
      <c r="AM210" s="152"/>
    </row>
    <row r="211">
      <c r="A211" s="152"/>
      <c r="B211" s="152"/>
      <c r="C211" s="152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2"/>
      <c r="AH211" s="152"/>
      <c r="AI211" s="152"/>
      <c r="AJ211" s="152"/>
      <c r="AK211" s="152"/>
      <c r="AL211" s="152"/>
      <c r="AM211" s="152"/>
    </row>
    <row r="212">
      <c r="A212" s="152"/>
      <c r="B212" s="152"/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2"/>
      <c r="AH212" s="152"/>
      <c r="AI212" s="152"/>
      <c r="AJ212" s="152"/>
      <c r="AK212" s="152"/>
      <c r="AL212" s="152"/>
      <c r="AM212" s="152"/>
    </row>
    <row r="213">
      <c r="A213" s="152"/>
      <c r="B213" s="152"/>
      <c r="C213" s="152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2"/>
      <c r="AH213" s="152"/>
      <c r="AI213" s="152"/>
      <c r="AJ213" s="152"/>
      <c r="AK213" s="152"/>
      <c r="AL213" s="152"/>
      <c r="AM213" s="152"/>
    </row>
    <row r="214">
      <c r="A214" s="152"/>
      <c r="B214" s="152"/>
      <c r="C214" s="152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2"/>
      <c r="AH214" s="152"/>
      <c r="AI214" s="152"/>
      <c r="AJ214" s="152"/>
      <c r="AK214" s="152"/>
      <c r="AL214" s="152"/>
      <c r="AM214" s="152"/>
    </row>
    <row r="215">
      <c r="A215" s="152"/>
      <c r="B215" s="152"/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2"/>
      <c r="AH215" s="152"/>
      <c r="AI215" s="152"/>
      <c r="AJ215" s="152"/>
      <c r="AK215" s="152"/>
      <c r="AL215" s="152"/>
      <c r="AM215" s="152"/>
    </row>
    <row r="216">
      <c r="A216" s="152"/>
      <c r="B216" s="152"/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2"/>
      <c r="AH216" s="152"/>
      <c r="AI216" s="152"/>
      <c r="AJ216" s="152"/>
      <c r="AK216" s="152"/>
      <c r="AL216" s="152"/>
      <c r="AM216" s="152"/>
    </row>
    <row r="217">
      <c r="A217" s="152"/>
      <c r="B217" s="152"/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2"/>
      <c r="AH217" s="152"/>
      <c r="AI217" s="152"/>
      <c r="AJ217" s="152"/>
      <c r="AK217" s="152"/>
      <c r="AL217" s="152"/>
      <c r="AM217" s="152"/>
    </row>
    <row r="218">
      <c r="A218" s="152"/>
      <c r="B218" s="152"/>
      <c r="C218" s="152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2"/>
      <c r="AH218" s="152"/>
      <c r="AI218" s="152"/>
      <c r="AJ218" s="152"/>
      <c r="AK218" s="152"/>
      <c r="AL218" s="152"/>
      <c r="AM218" s="152"/>
    </row>
    <row r="219">
      <c r="A219" s="152"/>
      <c r="B219" s="152"/>
      <c r="C219" s="152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2"/>
      <c r="AH219" s="152"/>
      <c r="AI219" s="152"/>
      <c r="AJ219" s="152"/>
      <c r="AK219" s="152"/>
      <c r="AL219" s="152"/>
      <c r="AM219" s="152"/>
    </row>
    <row r="220">
      <c r="A220" s="152"/>
      <c r="B220" s="152"/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2"/>
      <c r="AH220" s="152"/>
      <c r="AI220" s="152"/>
      <c r="AJ220" s="152"/>
      <c r="AK220" s="152"/>
      <c r="AL220" s="152"/>
      <c r="AM220" s="152"/>
    </row>
    <row r="221">
      <c r="A221" s="152"/>
      <c r="B221" s="152"/>
      <c r="C221" s="152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2"/>
      <c r="AH221" s="152"/>
      <c r="AI221" s="152"/>
      <c r="AJ221" s="152"/>
      <c r="AK221" s="152"/>
      <c r="AL221" s="152"/>
      <c r="AM221" s="152"/>
    </row>
    <row r="222">
      <c r="A222" s="152"/>
      <c r="B222" s="152"/>
      <c r="C222" s="152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2"/>
      <c r="AH222" s="152"/>
      <c r="AI222" s="152"/>
      <c r="AJ222" s="152"/>
      <c r="AK222" s="152"/>
      <c r="AL222" s="152"/>
      <c r="AM222" s="152"/>
    </row>
    <row r="223">
      <c r="A223" s="152"/>
      <c r="B223" s="152"/>
      <c r="C223" s="152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2"/>
      <c r="AH223" s="152"/>
      <c r="AI223" s="152"/>
      <c r="AJ223" s="152"/>
      <c r="AK223" s="152"/>
      <c r="AL223" s="152"/>
      <c r="AM223" s="152"/>
    </row>
    <row r="224">
      <c r="A224" s="152"/>
      <c r="B224" s="152"/>
      <c r="C224" s="152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2"/>
      <c r="AH224" s="152"/>
      <c r="AI224" s="152"/>
      <c r="AJ224" s="152"/>
      <c r="AK224" s="152"/>
      <c r="AL224" s="152"/>
      <c r="AM224" s="152"/>
    </row>
    <row r="225">
      <c r="A225" s="152"/>
      <c r="B225" s="152"/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2"/>
      <c r="AH225" s="152"/>
      <c r="AI225" s="152"/>
      <c r="AJ225" s="152"/>
      <c r="AK225" s="152"/>
      <c r="AL225" s="152"/>
      <c r="AM225" s="152"/>
    </row>
    <row r="226">
      <c r="A226" s="152"/>
      <c r="B226" s="152"/>
      <c r="C226" s="152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2"/>
      <c r="AH226" s="152"/>
      <c r="AI226" s="152"/>
      <c r="AJ226" s="152"/>
      <c r="AK226" s="152"/>
      <c r="AL226" s="152"/>
      <c r="AM226" s="152"/>
    </row>
    <row r="227">
      <c r="A227" s="152"/>
      <c r="B227" s="152"/>
      <c r="C227" s="152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2"/>
      <c r="AH227" s="152"/>
      <c r="AI227" s="152"/>
      <c r="AJ227" s="152"/>
      <c r="AK227" s="152"/>
      <c r="AL227" s="152"/>
      <c r="AM227" s="152"/>
    </row>
    <row r="228">
      <c r="A228" s="152"/>
      <c r="B228" s="152"/>
      <c r="C228" s="152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2"/>
      <c r="AH228" s="152"/>
      <c r="AI228" s="152"/>
      <c r="AJ228" s="152"/>
      <c r="AK228" s="152"/>
      <c r="AL228" s="152"/>
      <c r="AM228" s="152"/>
    </row>
    <row r="229">
      <c r="A229" s="152"/>
      <c r="B229" s="152"/>
      <c r="C229" s="152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2"/>
      <c r="AH229" s="152"/>
      <c r="AI229" s="152"/>
      <c r="AJ229" s="152"/>
      <c r="AK229" s="152"/>
      <c r="AL229" s="152"/>
      <c r="AM229" s="152"/>
    </row>
    <row r="230">
      <c r="A230" s="152"/>
      <c r="B230" s="152"/>
      <c r="C230" s="152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2"/>
      <c r="AH230" s="152"/>
      <c r="AI230" s="152"/>
      <c r="AJ230" s="152"/>
      <c r="AK230" s="152"/>
      <c r="AL230" s="152"/>
      <c r="AM230" s="152"/>
    </row>
    <row r="231">
      <c r="A231" s="152"/>
      <c r="B231" s="152"/>
      <c r="C231" s="152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2"/>
      <c r="AH231" s="152"/>
      <c r="AI231" s="152"/>
      <c r="AJ231" s="152"/>
      <c r="AK231" s="152"/>
      <c r="AL231" s="152"/>
      <c r="AM231" s="152"/>
    </row>
    <row r="232">
      <c r="A232" s="152"/>
      <c r="B232" s="152"/>
      <c r="C232" s="152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2"/>
      <c r="AH232" s="152"/>
      <c r="AI232" s="152"/>
      <c r="AJ232" s="152"/>
      <c r="AK232" s="152"/>
      <c r="AL232" s="152"/>
      <c r="AM232" s="152"/>
    </row>
    <row r="233">
      <c r="A233" s="152"/>
      <c r="B233" s="152"/>
      <c r="C233" s="152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2"/>
      <c r="AH233" s="152"/>
      <c r="AI233" s="152"/>
      <c r="AJ233" s="152"/>
      <c r="AK233" s="152"/>
      <c r="AL233" s="152"/>
      <c r="AM233" s="152"/>
    </row>
    <row r="234">
      <c r="A234" s="152"/>
      <c r="B234" s="152"/>
      <c r="C234" s="152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2"/>
      <c r="AH234" s="152"/>
      <c r="AI234" s="152"/>
      <c r="AJ234" s="152"/>
      <c r="AK234" s="152"/>
      <c r="AL234" s="152"/>
      <c r="AM234" s="152"/>
    </row>
    <row r="235">
      <c r="A235" s="152"/>
      <c r="B235" s="152"/>
      <c r="C235" s="152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2"/>
      <c r="AH235" s="152"/>
      <c r="AI235" s="152"/>
      <c r="AJ235" s="152"/>
      <c r="AK235" s="152"/>
      <c r="AL235" s="152"/>
      <c r="AM235" s="152"/>
    </row>
    <row r="236">
      <c r="A236" s="152"/>
      <c r="B236" s="152"/>
      <c r="C236" s="152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2"/>
      <c r="AH236" s="152"/>
      <c r="AI236" s="152"/>
      <c r="AJ236" s="152"/>
      <c r="AK236" s="152"/>
      <c r="AL236" s="152"/>
      <c r="AM236" s="152"/>
    </row>
    <row r="237">
      <c r="A237" s="152"/>
      <c r="B237" s="152"/>
      <c r="C237" s="152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2"/>
      <c r="AH237" s="152"/>
      <c r="AI237" s="152"/>
      <c r="AJ237" s="152"/>
      <c r="AK237" s="152"/>
      <c r="AL237" s="152"/>
      <c r="AM237" s="152"/>
    </row>
    <row r="238">
      <c r="A238" s="152"/>
      <c r="B238" s="152"/>
      <c r="C238" s="152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2"/>
      <c r="AH238" s="152"/>
      <c r="AI238" s="152"/>
      <c r="AJ238" s="152"/>
      <c r="AK238" s="152"/>
      <c r="AL238" s="152"/>
      <c r="AM238" s="152"/>
    </row>
    <row r="239">
      <c r="A239" s="152"/>
      <c r="B239" s="152"/>
      <c r="C239" s="152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2"/>
      <c r="AH239" s="152"/>
      <c r="AI239" s="152"/>
      <c r="AJ239" s="152"/>
      <c r="AK239" s="152"/>
      <c r="AL239" s="152"/>
      <c r="AM239" s="152"/>
    </row>
    <row r="240">
      <c r="A240" s="152"/>
      <c r="B240" s="152"/>
      <c r="C240" s="152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2"/>
      <c r="AH240" s="152"/>
      <c r="AI240" s="152"/>
      <c r="AJ240" s="152"/>
      <c r="AK240" s="152"/>
      <c r="AL240" s="152"/>
      <c r="AM240" s="152"/>
    </row>
    <row r="241">
      <c r="A241" s="152"/>
      <c r="B241" s="152"/>
      <c r="C241" s="152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2"/>
      <c r="AH241" s="152"/>
      <c r="AI241" s="152"/>
      <c r="AJ241" s="152"/>
      <c r="AK241" s="152"/>
      <c r="AL241" s="152"/>
      <c r="AM241" s="152"/>
    </row>
    <row r="242">
      <c r="A242" s="152"/>
      <c r="B242" s="152"/>
      <c r="C242" s="152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2"/>
      <c r="AH242" s="152"/>
      <c r="AI242" s="152"/>
      <c r="AJ242" s="152"/>
      <c r="AK242" s="152"/>
      <c r="AL242" s="152"/>
      <c r="AM242" s="152"/>
    </row>
    <row r="243">
      <c r="A243" s="152"/>
      <c r="B243" s="152"/>
      <c r="C243" s="152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2"/>
      <c r="AH243" s="152"/>
      <c r="AI243" s="152"/>
      <c r="AJ243" s="152"/>
      <c r="AK243" s="152"/>
      <c r="AL243" s="152"/>
      <c r="AM243" s="152"/>
    </row>
    <row r="244">
      <c r="A244" s="152"/>
      <c r="B244" s="152"/>
      <c r="C244" s="152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2"/>
      <c r="AH244" s="152"/>
      <c r="AI244" s="152"/>
      <c r="AJ244" s="152"/>
      <c r="AK244" s="152"/>
      <c r="AL244" s="152"/>
      <c r="AM244" s="152"/>
    </row>
    <row r="245">
      <c r="A245" s="152"/>
      <c r="B245" s="152"/>
      <c r="C245" s="152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2"/>
      <c r="AH245" s="152"/>
      <c r="AI245" s="152"/>
      <c r="AJ245" s="152"/>
      <c r="AK245" s="152"/>
      <c r="AL245" s="152"/>
      <c r="AM245" s="152"/>
    </row>
    <row r="246">
      <c r="A246" s="152"/>
      <c r="B246" s="152"/>
      <c r="C246" s="152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  <c r="AA246" s="152"/>
      <c r="AB246" s="152"/>
      <c r="AC246" s="152"/>
      <c r="AD246" s="152"/>
      <c r="AE246" s="152"/>
      <c r="AF246" s="152"/>
      <c r="AG246" s="152"/>
      <c r="AH246" s="152"/>
      <c r="AI246" s="152"/>
      <c r="AJ246" s="152"/>
      <c r="AK246" s="152"/>
      <c r="AL246" s="152"/>
      <c r="AM246" s="152"/>
    </row>
    <row r="247">
      <c r="A247" s="152"/>
      <c r="B247" s="152"/>
      <c r="C247" s="152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  <c r="AA247" s="152"/>
      <c r="AB247" s="152"/>
      <c r="AC247" s="152"/>
      <c r="AD247" s="152"/>
      <c r="AE247" s="152"/>
      <c r="AF247" s="152"/>
      <c r="AG247" s="152"/>
      <c r="AH247" s="152"/>
      <c r="AI247" s="152"/>
      <c r="AJ247" s="152"/>
      <c r="AK247" s="152"/>
      <c r="AL247" s="152"/>
      <c r="AM247" s="152"/>
    </row>
    <row r="248">
      <c r="A248" s="152"/>
      <c r="B248" s="152"/>
      <c r="C248" s="152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  <c r="AA248" s="152"/>
      <c r="AB248" s="152"/>
      <c r="AC248" s="152"/>
      <c r="AD248" s="152"/>
      <c r="AE248" s="152"/>
      <c r="AF248" s="152"/>
      <c r="AG248" s="152"/>
      <c r="AH248" s="152"/>
      <c r="AI248" s="152"/>
      <c r="AJ248" s="152"/>
      <c r="AK248" s="152"/>
      <c r="AL248" s="152"/>
      <c r="AM248" s="152"/>
    </row>
    <row r="249">
      <c r="A249" s="152"/>
      <c r="B249" s="152"/>
      <c r="C249" s="152"/>
      <c r="D249" s="152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  <c r="AA249" s="152"/>
      <c r="AB249" s="152"/>
      <c r="AC249" s="152"/>
      <c r="AD249" s="152"/>
      <c r="AE249" s="152"/>
      <c r="AF249" s="152"/>
      <c r="AG249" s="152"/>
      <c r="AH249" s="152"/>
      <c r="AI249" s="152"/>
      <c r="AJ249" s="152"/>
      <c r="AK249" s="152"/>
      <c r="AL249" s="152"/>
      <c r="AM249" s="152"/>
    </row>
    <row r="250">
      <c r="A250" s="152"/>
      <c r="B250" s="152"/>
      <c r="C250" s="152"/>
      <c r="D250" s="152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  <c r="AA250" s="152"/>
      <c r="AB250" s="152"/>
      <c r="AC250" s="152"/>
      <c r="AD250" s="152"/>
      <c r="AE250" s="152"/>
      <c r="AF250" s="152"/>
      <c r="AG250" s="152"/>
      <c r="AH250" s="152"/>
      <c r="AI250" s="152"/>
      <c r="AJ250" s="152"/>
      <c r="AK250" s="152"/>
      <c r="AL250" s="152"/>
      <c r="AM250" s="152"/>
    </row>
    <row r="251">
      <c r="A251" s="152"/>
      <c r="B251" s="152"/>
      <c r="C251" s="152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  <c r="AA251" s="152"/>
      <c r="AB251" s="152"/>
      <c r="AC251" s="152"/>
      <c r="AD251" s="152"/>
      <c r="AE251" s="152"/>
      <c r="AF251" s="152"/>
      <c r="AG251" s="152"/>
      <c r="AH251" s="152"/>
      <c r="AI251" s="152"/>
      <c r="AJ251" s="152"/>
      <c r="AK251" s="152"/>
      <c r="AL251" s="152"/>
      <c r="AM251" s="152"/>
    </row>
    <row r="252">
      <c r="A252" s="152"/>
      <c r="B252" s="152"/>
      <c r="C252" s="152"/>
      <c r="D252" s="152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  <c r="AA252" s="152"/>
      <c r="AB252" s="152"/>
      <c r="AC252" s="152"/>
      <c r="AD252" s="152"/>
      <c r="AE252" s="152"/>
      <c r="AF252" s="152"/>
      <c r="AG252" s="152"/>
      <c r="AH252" s="152"/>
      <c r="AI252" s="152"/>
      <c r="AJ252" s="152"/>
      <c r="AK252" s="152"/>
      <c r="AL252" s="152"/>
      <c r="AM252" s="152"/>
    </row>
    <row r="253">
      <c r="A253" s="152"/>
      <c r="B253" s="152"/>
      <c r="C253" s="152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  <c r="AA253" s="152"/>
      <c r="AB253" s="152"/>
      <c r="AC253" s="152"/>
      <c r="AD253" s="152"/>
      <c r="AE253" s="152"/>
      <c r="AF253" s="152"/>
      <c r="AG253" s="152"/>
      <c r="AH253" s="152"/>
      <c r="AI253" s="152"/>
      <c r="AJ253" s="152"/>
      <c r="AK253" s="152"/>
      <c r="AL253" s="152"/>
      <c r="AM253" s="152"/>
    </row>
    <row r="254">
      <c r="A254" s="152"/>
      <c r="B254" s="152"/>
      <c r="C254" s="152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  <c r="AA254" s="152"/>
      <c r="AB254" s="152"/>
      <c r="AC254" s="152"/>
      <c r="AD254" s="152"/>
      <c r="AE254" s="152"/>
      <c r="AF254" s="152"/>
      <c r="AG254" s="152"/>
      <c r="AH254" s="152"/>
      <c r="AI254" s="152"/>
      <c r="AJ254" s="152"/>
      <c r="AK254" s="152"/>
      <c r="AL254" s="152"/>
      <c r="AM254" s="152"/>
    </row>
    <row r="255">
      <c r="A255" s="152"/>
      <c r="B255" s="152"/>
      <c r="C255" s="152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  <c r="AA255" s="152"/>
      <c r="AB255" s="152"/>
      <c r="AC255" s="152"/>
      <c r="AD255" s="152"/>
      <c r="AE255" s="152"/>
      <c r="AF255" s="152"/>
      <c r="AG255" s="152"/>
      <c r="AH255" s="152"/>
      <c r="AI255" s="152"/>
      <c r="AJ255" s="152"/>
      <c r="AK255" s="152"/>
      <c r="AL255" s="152"/>
      <c r="AM255" s="152"/>
    </row>
    <row r="256">
      <c r="A256" s="152"/>
      <c r="B256" s="152"/>
      <c r="C256" s="152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  <c r="AA256" s="152"/>
      <c r="AB256" s="152"/>
      <c r="AC256" s="152"/>
      <c r="AD256" s="152"/>
      <c r="AE256" s="152"/>
      <c r="AF256" s="152"/>
      <c r="AG256" s="152"/>
      <c r="AH256" s="152"/>
      <c r="AI256" s="152"/>
      <c r="AJ256" s="152"/>
      <c r="AK256" s="152"/>
      <c r="AL256" s="152"/>
      <c r="AM256" s="152"/>
    </row>
    <row r="257">
      <c r="A257" s="152"/>
      <c r="B257" s="152"/>
      <c r="C257" s="152"/>
      <c r="D257" s="152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  <c r="AA257" s="152"/>
      <c r="AB257" s="152"/>
      <c r="AC257" s="152"/>
      <c r="AD257" s="152"/>
      <c r="AE257" s="152"/>
      <c r="AF257" s="152"/>
      <c r="AG257" s="152"/>
      <c r="AH257" s="152"/>
      <c r="AI257" s="152"/>
      <c r="AJ257" s="152"/>
      <c r="AK257" s="152"/>
      <c r="AL257" s="152"/>
      <c r="AM257" s="152"/>
    </row>
    <row r="258">
      <c r="A258" s="152"/>
      <c r="B258" s="152"/>
      <c r="C258" s="152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  <c r="AA258" s="152"/>
      <c r="AB258" s="152"/>
      <c r="AC258" s="152"/>
      <c r="AD258" s="152"/>
      <c r="AE258" s="152"/>
      <c r="AF258" s="152"/>
      <c r="AG258" s="152"/>
      <c r="AH258" s="152"/>
      <c r="AI258" s="152"/>
      <c r="AJ258" s="152"/>
      <c r="AK258" s="152"/>
      <c r="AL258" s="152"/>
      <c r="AM258" s="152"/>
    </row>
    <row r="259">
      <c r="A259" s="152"/>
      <c r="B259" s="152"/>
      <c r="C259" s="152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  <c r="AA259" s="152"/>
      <c r="AB259" s="152"/>
      <c r="AC259" s="152"/>
      <c r="AD259" s="152"/>
      <c r="AE259" s="152"/>
      <c r="AF259" s="152"/>
      <c r="AG259" s="152"/>
      <c r="AH259" s="152"/>
      <c r="AI259" s="152"/>
      <c r="AJ259" s="152"/>
      <c r="AK259" s="152"/>
      <c r="AL259" s="152"/>
      <c r="AM259" s="152"/>
    </row>
    <row r="260">
      <c r="A260" s="152"/>
      <c r="B260" s="152"/>
      <c r="C260" s="152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  <c r="AA260" s="152"/>
      <c r="AB260" s="152"/>
      <c r="AC260" s="152"/>
      <c r="AD260" s="152"/>
      <c r="AE260" s="152"/>
      <c r="AF260" s="152"/>
      <c r="AG260" s="152"/>
      <c r="AH260" s="152"/>
      <c r="AI260" s="152"/>
      <c r="AJ260" s="152"/>
      <c r="AK260" s="152"/>
      <c r="AL260" s="152"/>
      <c r="AM260" s="152"/>
    </row>
    <row r="261">
      <c r="A261" s="152"/>
      <c r="B261" s="152"/>
      <c r="C261" s="152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  <c r="AA261" s="152"/>
      <c r="AB261" s="152"/>
      <c r="AC261" s="152"/>
      <c r="AD261" s="152"/>
      <c r="AE261" s="152"/>
      <c r="AF261" s="152"/>
      <c r="AG261" s="152"/>
      <c r="AH261" s="152"/>
      <c r="AI261" s="152"/>
      <c r="AJ261" s="152"/>
      <c r="AK261" s="152"/>
      <c r="AL261" s="152"/>
      <c r="AM261" s="152"/>
    </row>
    <row r="262">
      <c r="A262" s="152"/>
      <c r="B262" s="152"/>
      <c r="C262" s="152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  <c r="AA262" s="152"/>
      <c r="AB262" s="152"/>
      <c r="AC262" s="152"/>
      <c r="AD262" s="152"/>
      <c r="AE262" s="152"/>
      <c r="AF262" s="152"/>
      <c r="AG262" s="152"/>
      <c r="AH262" s="152"/>
      <c r="AI262" s="152"/>
      <c r="AJ262" s="152"/>
      <c r="AK262" s="152"/>
      <c r="AL262" s="152"/>
      <c r="AM262" s="152"/>
    </row>
    <row r="263">
      <c r="A263" s="152"/>
      <c r="B263" s="152"/>
      <c r="C263" s="152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  <c r="AA263" s="152"/>
      <c r="AB263" s="152"/>
      <c r="AC263" s="152"/>
      <c r="AD263" s="152"/>
      <c r="AE263" s="152"/>
      <c r="AF263" s="152"/>
      <c r="AG263" s="152"/>
      <c r="AH263" s="152"/>
      <c r="AI263" s="152"/>
      <c r="AJ263" s="152"/>
      <c r="AK263" s="152"/>
      <c r="AL263" s="152"/>
      <c r="AM263" s="152"/>
    </row>
    <row r="264">
      <c r="A264" s="152"/>
      <c r="B264" s="152"/>
      <c r="C264" s="152"/>
      <c r="D264" s="152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  <c r="AA264" s="152"/>
      <c r="AB264" s="152"/>
      <c r="AC264" s="152"/>
      <c r="AD264" s="152"/>
      <c r="AE264" s="152"/>
      <c r="AF264" s="152"/>
      <c r="AG264" s="152"/>
      <c r="AH264" s="152"/>
      <c r="AI264" s="152"/>
      <c r="AJ264" s="152"/>
      <c r="AK264" s="152"/>
      <c r="AL264" s="152"/>
      <c r="AM264" s="152"/>
    </row>
    <row r="265">
      <c r="A265" s="152"/>
      <c r="B265" s="152"/>
      <c r="C265" s="152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  <c r="AA265" s="152"/>
      <c r="AB265" s="152"/>
      <c r="AC265" s="152"/>
      <c r="AD265" s="152"/>
      <c r="AE265" s="152"/>
      <c r="AF265" s="152"/>
      <c r="AG265" s="152"/>
      <c r="AH265" s="152"/>
      <c r="AI265" s="152"/>
      <c r="AJ265" s="152"/>
      <c r="AK265" s="152"/>
      <c r="AL265" s="152"/>
      <c r="AM265" s="152"/>
    </row>
    <row r="266">
      <c r="A266" s="152"/>
      <c r="B266" s="152"/>
      <c r="C266" s="152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  <c r="AA266" s="152"/>
      <c r="AB266" s="152"/>
      <c r="AC266" s="152"/>
      <c r="AD266" s="152"/>
      <c r="AE266" s="152"/>
      <c r="AF266" s="152"/>
      <c r="AG266" s="152"/>
      <c r="AH266" s="152"/>
      <c r="AI266" s="152"/>
      <c r="AJ266" s="152"/>
      <c r="AK266" s="152"/>
      <c r="AL266" s="152"/>
      <c r="AM266" s="152"/>
    </row>
    <row r="267">
      <c r="A267" s="152"/>
      <c r="B267" s="152"/>
      <c r="C267" s="152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  <c r="AA267" s="152"/>
      <c r="AB267" s="152"/>
      <c r="AC267" s="152"/>
      <c r="AD267" s="152"/>
      <c r="AE267" s="152"/>
      <c r="AF267" s="152"/>
      <c r="AG267" s="152"/>
      <c r="AH267" s="152"/>
      <c r="AI267" s="152"/>
      <c r="AJ267" s="152"/>
      <c r="AK267" s="152"/>
      <c r="AL267" s="152"/>
      <c r="AM267" s="152"/>
    </row>
    <row r="268">
      <c r="A268" s="152"/>
      <c r="B268" s="152"/>
      <c r="C268" s="152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  <c r="AA268" s="152"/>
      <c r="AB268" s="152"/>
      <c r="AC268" s="152"/>
      <c r="AD268" s="152"/>
      <c r="AE268" s="152"/>
      <c r="AF268" s="152"/>
      <c r="AG268" s="152"/>
      <c r="AH268" s="152"/>
      <c r="AI268" s="152"/>
      <c r="AJ268" s="152"/>
      <c r="AK268" s="152"/>
      <c r="AL268" s="152"/>
      <c r="AM268" s="152"/>
    </row>
    <row r="269">
      <c r="A269" s="152"/>
      <c r="B269" s="152"/>
      <c r="C269" s="152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  <c r="AA269" s="152"/>
      <c r="AB269" s="152"/>
      <c r="AC269" s="152"/>
      <c r="AD269" s="152"/>
      <c r="AE269" s="152"/>
      <c r="AF269" s="152"/>
      <c r="AG269" s="152"/>
      <c r="AH269" s="152"/>
      <c r="AI269" s="152"/>
      <c r="AJ269" s="152"/>
      <c r="AK269" s="152"/>
      <c r="AL269" s="152"/>
      <c r="AM269" s="152"/>
    </row>
    <row r="270">
      <c r="A270" s="152"/>
      <c r="B270" s="152"/>
      <c r="C270" s="152"/>
      <c r="D270" s="152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  <c r="AA270" s="152"/>
      <c r="AB270" s="152"/>
      <c r="AC270" s="152"/>
      <c r="AD270" s="152"/>
      <c r="AE270" s="152"/>
      <c r="AF270" s="152"/>
      <c r="AG270" s="152"/>
      <c r="AH270" s="152"/>
      <c r="AI270" s="152"/>
      <c r="AJ270" s="152"/>
      <c r="AK270" s="152"/>
      <c r="AL270" s="152"/>
      <c r="AM270" s="152"/>
    </row>
    <row r="271">
      <c r="A271" s="152"/>
      <c r="B271" s="152"/>
      <c r="C271" s="152"/>
      <c r="D271" s="152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  <c r="AA271" s="152"/>
      <c r="AB271" s="152"/>
      <c r="AC271" s="152"/>
      <c r="AD271" s="152"/>
      <c r="AE271" s="152"/>
      <c r="AF271" s="152"/>
      <c r="AG271" s="152"/>
      <c r="AH271" s="152"/>
      <c r="AI271" s="152"/>
      <c r="AJ271" s="152"/>
      <c r="AK271" s="152"/>
      <c r="AL271" s="152"/>
      <c r="AM271" s="152"/>
    </row>
    <row r="272">
      <c r="A272" s="152"/>
      <c r="B272" s="152"/>
      <c r="C272" s="152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  <c r="AA272" s="152"/>
      <c r="AB272" s="152"/>
      <c r="AC272" s="152"/>
      <c r="AD272" s="152"/>
      <c r="AE272" s="152"/>
      <c r="AF272" s="152"/>
      <c r="AG272" s="152"/>
      <c r="AH272" s="152"/>
      <c r="AI272" s="152"/>
      <c r="AJ272" s="152"/>
      <c r="AK272" s="152"/>
      <c r="AL272" s="152"/>
      <c r="AM272" s="152"/>
    </row>
    <row r="273">
      <c r="A273" s="152"/>
      <c r="B273" s="152"/>
      <c r="C273" s="152"/>
      <c r="D273" s="152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  <c r="AA273" s="152"/>
      <c r="AB273" s="152"/>
      <c r="AC273" s="152"/>
      <c r="AD273" s="152"/>
      <c r="AE273" s="152"/>
      <c r="AF273" s="152"/>
      <c r="AG273" s="152"/>
      <c r="AH273" s="152"/>
      <c r="AI273" s="152"/>
      <c r="AJ273" s="152"/>
      <c r="AK273" s="152"/>
      <c r="AL273" s="152"/>
      <c r="AM273" s="152"/>
    </row>
    <row r="274">
      <c r="A274" s="152"/>
      <c r="B274" s="152"/>
      <c r="C274" s="152"/>
      <c r="D274" s="152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  <c r="AA274" s="152"/>
      <c r="AB274" s="152"/>
      <c r="AC274" s="152"/>
      <c r="AD274" s="152"/>
      <c r="AE274" s="152"/>
      <c r="AF274" s="152"/>
      <c r="AG274" s="152"/>
      <c r="AH274" s="152"/>
      <c r="AI274" s="152"/>
      <c r="AJ274" s="152"/>
      <c r="AK274" s="152"/>
      <c r="AL274" s="152"/>
      <c r="AM274" s="152"/>
    </row>
    <row r="275">
      <c r="A275" s="152"/>
      <c r="B275" s="152"/>
      <c r="C275" s="152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  <c r="AA275" s="152"/>
      <c r="AB275" s="152"/>
      <c r="AC275" s="152"/>
      <c r="AD275" s="152"/>
      <c r="AE275" s="152"/>
      <c r="AF275" s="152"/>
      <c r="AG275" s="152"/>
      <c r="AH275" s="152"/>
      <c r="AI275" s="152"/>
      <c r="AJ275" s="152"/>
      <c r="AK275" s="152"/>
      <c r="AL275" s="152"/>
      <c r="AM275" s="152"/>
    </row>
    <row r="276">
      <c r="A276" s="152"/>
      <c r="B276" s="152"/>
      <c r="C276" s="152"/>
      <c r="D276" s="152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  <c r="AA276" s="152"/>
      <c r="AB276" s="152"/>
      <c r="AC276" s="152"/>
      <c r="AD276" s="152"/>
      <c r="AE276" s="152"/>
      <c r="AF276" s="152"/>
      <c r="AG276" s="152"/>
      <c r="AH276" s="152"/>
      <c r="AI276" s="152"/>
      <c r="AJ276" s="152"/>
      <c r="AK276" s="152"/>
      <c r="AL276" s="152"/>
      <c r="AM276" s="152"/>
    </row>
    <row r="277">
      <c r="A277" s="152"/>
      <c r="B277" s="152"/>
      <c r="C277" s="152"/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  <c r="AA277" s="152"/>
      <c r="AB277" s="152"/>
      <c r="AC277" s="152"/>
      <c r="AD277" s="152"/>
      <c r="AE277" s="152"/>
      <c r="AF277" s="152"/>
      <c r="AG277" s="152"/>
      <c r="AH277" s="152"/>
      <c r="AI277" s="152"/>
      <c r="AJ277" s="152"/>
      <c r="AK277" s="152"/>
      <c r="AL277" s="152"/>
      <c r="AM277" s="152"/>
    </row>
    <row r="278">
      <c r="A278" s="152"/>
      <c r="B278" s="152"/>
      <c r="C278" s="152"/>
      <c r="D278" s="152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  <c r="AA278" s="152"/>
      <c r="AB278" s="152"/>
      <c r="AC278" s="152"/>
      <c r="AD278" s="152"/>
      <c r="AE278" s="152"/>
      <c r="AF278" s="152"/>
      <c r="AG278" s="152"/>
      <c r="AH278" s="152"/>
      <c r="AI278" s="152"/>
      <c r="AJ278" s="152"/>
      <c r="AK278" s="152"/>
      <c r="AL278" s="152"/>
      <c r="AM278" s="152"/>
    </row>
    <row r="279">
      <c r="A279" s="152"/>
      <c r="B279" s="152"/>
      <c r="C279" s="152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  <c r="AA279" s="152"/>
      <c r="AB279" s="152"/>
      <c r="AC279" s="152"/>
      <c r="AD279" s="152"/>
      <c r="AE279" s="152"/>
      <c r="AF279" s="152"/>
      <c r="AG279" s="152"/>
      <c r="AH279" s="152"/>
      <c r="AI279" s="152"/>
      <c r="AJ279" s="152"/>
      <c r="AK279" s="152"/>
      <c r="AL279" s="152"/>
      <c r="AM279" s="152"/>
    </row>
    <row r="280">
      <c r="A280" s="152"/>
      <c r="B280" s="152"/>
      <c r="C280" s="152"/>
      <c r="D280" s="152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  <c r="AA280" s="152"/>
      <c r="AB280" s="152"/>
      <c r="AC280" s="152"/>
      <c r="AD280" s="152"/>
      <c r="AE280" s="152"/>
      <c r="AF280" s="152"/>
      <c r="AG280" s="152"/>
      <c r="AH280" s="152"/>
      <c r="AI280" s="152"/>
      <c r="AJ280" s="152"/>
      <c r="AK280" s="152"/>
      <c r="AL280" s="152"/>
      <c r="AM280" s="152"/>
    </row>
    <row r="281">
      <c r="A281" s="152"/>
      <c r="B281" s="152"/>
      <c r="C281" s="152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  <c r="AA281" s="152"/>
      <c r="AB281" s="152"/>
      <c r="AC281" s="152"/>
      <c r="AD281" s="152"/>
      <c r="AE281" s="152"/>
      <c r="AF281" s="152"/>
      <c r="AG281" s="152"/>
      <c r="AH281" s="152"/>
      <c r="AI281" s="152"/>
      <c r="AJ281" s="152"/>
      <c r="AK281" s="152"/>
      <c r="AL281" s="152"/>
      <c r="AM281" s="152"/>
    </row>
    <row r="282">
      <c r="A282" s="152"/>
      <c r="B282" s="152"/>
      <c r="C282" s="152"/>
      <c r="D282" s="152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  <c r="AA282" s="152"/>
      <c r="AB282" s="152"/>
      <c r="AC282" s="152"/>
      <c r="AD282" s="152"/>
      <c r="AE282" s="152"/>
      <c r="AF282" s="152"/>
      <c r="AG282" s="152"/>
      <c r="AH282" s="152"/>
      <c r="AI282" s="152"/>
      <c r="AJ282" s="152"/>
      <c r="AK282" s="152"/>
      <c r="AL282" s="152"/>
      <c r="AM282" s="152"/>
    </row>
    <row r="283">
      <c r="A283" s="152"/>
      <c r="B283" s="152"/>
      <c r="C283" s="152"/>
      <c r="D283" s="152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  <c r="AA283" s="152"/>
      <c r="AB283" s="152"/>
      <c r="AC283" s="152"/>
      <c r="AD283" s="152"/>
      <c r="AE283" s="152"/>
      <c r="AF283" s="152"/>
      <c r="AG283" s="152"/>
      <c r="AH283" s="152"/>
      <c r="AI283" s="152"/>
      <c r="AJ283" s="152"/>
      <c r="AK283" s="152"/>
      <c r="AL283" s="152"/>
      <c r="AM283" s="152"/>
    </row>
    <row r="284">
      <c r="A284" s="152"/>
      <c r="B284" s="152"/>
      <c r="C284" s="152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  <c r="AA284" s="152"/>
      <c r="AB284" s="152"/>
      <c r="AC284" s="152"/>
      <c r="AD284" s="152"/>
      <c r="AE284" s="152"/>
      <c r="AF284" s="152"/>
      <c r="AG284" s="152"/>
      <c r="AH284" s="152"/>
      <c r="AI284" s="152"/>
      <c r="AJ284" s="152"/>
      <c r="AK284" s="152"/>
      <c r="AL284" s="152"/>
      <c r="AM284" s="152"/>
    </row>
    <row r="285">
      <c r="A285" s="152"/>
      <c r="B285" s="152"/>
      <c r="C285" s="152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  <c r="AA285" s="152"/>
      <c r="AB285" s="152"/>
      <c r="AC285" s="152"/>
      <c r="AD285" s="152"/>
      <c r="AE285" s="152"/>
      <c r="AF285" s="152"/>
      <c r="AG285" s="152"/>
      <c r="AH285" s="152"/>
      <c r="AI285" s="152"/>
      <c r="AJ285" s="152"/>
      <c r="AK285" s="152"/>
      <c r="AL285" s="152"/>
      <c r="AM285" s="152"/>
    </row>
    <row r="286">
      <c r="A286" s="152"/>
      <c r="B286" s="152"/>
      <c r="C286" s="152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  <c r="AA286" s="152"/>
      <c r="AB286" s="152"/>
      <c r="AC286" s="152"/>
      <c r="AD286" s="152"/>
      <c r="AE286" s="152"/>
      <c r="AF286" s="152"/>
      <c r="AG286" s="152"/>
      <c r="AH286" s="152"/>
      <c r="AI286" s="152"/>
      <c r="AJ286" s="152"/>
      <c r="AK286" s="152"/>
      <c r="AL286" s="152"/>
      <c r="AM286" s="152"/>
    </row>
    <row r="287">
      <c r="A287" s="152"/>
      <c r="B287" s="152"/>
      <c r="C287" s="152"/>
      <c r="D287" s="152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  <c r="AA287" s="152"/>
      <c r="AB287" s="152"/>
      <c r="AC287" s="152"/>
      <c r="AD287" s="152"/>
      <c r="AE287" s="152"/>
      <c r="AF287" s="152"/>
      <c r="AG287" s="152"/>
      <c r="AH287" s="152"/>
      <c r="AI287" s="152"/>
      <c r="AJ287" s="152"/>
      <c r="AK287" s="152"/>
      <c r="AL287" s="152"/>
      <c r="AM287" s="152"/>
    </row>
    <row r="288">
      <c r="A288" s="152"/>
      <c r="B288" s="152"/>
      <c r="C288" s="152"/>
      <c r="D288" s="152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  <c r="AA288" s="152"/>
      <c r="AB288" s="152"/>
      <c r="AC288" s="152"/>
      <c r="AD288" s="152"/>
      <c r="AE288" s="152"/>
      <c r="AF288" s="152"/>
      <c r="AG288" s="152"/>
      <c r="AH288" s="152"/>
      <c r="AI288" s="152"/>
      <c r="AJ288" s="152"/>
      <c r="AK288" s="152"/>
      <c r="AL288" s="152"/>
      <c r="AM288" s="152"/>
    </row>
    <row r="289">
      <c r="A289" s="152"/>
      <c r="B289" s="152"/>
      <c r="C289" s="152"/>
      <c r="D289" s="152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  <c r="AA289" s="152"/>
      <c r="AB289" s="152"/>
      <c r="AC289" s="152"/>
      <c r="AD289" s="152"/>
      <c r="AE289" s="152"/>
      <c r="AF289" s="152"/>
      <c r="AG289" s="152"/>
      <c r="AH289" s="152"/>
      <c r="AI289" s="152"/>
      <c r="AJ289" s="152"/>
      <c r="AK289" s="152"/>
      <c r="AL289" s="152"/>
      <c r="AM289" s="152"/>
    </row>
    <row r="290">
      <c r="A290" s="152"/>
      <c r="B290" s="152"/>
      <c r="C290" s="152"/>
      <c r="D290" s="152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  <c r="AA290" s="152"/>
      <c r="AB290" s="152"/>
      <c r="AC290" s="152"/>
      <c r="AD290" s="152"/>
      <c r="AE290" s="152"/>
      <c r="AF290" s="152"/>
      <c r="AG290" s="152"/>
      <c r="AH290" s="152"/>
      <c r="AI290" s="152"/>
      <c r="AJ290" s="152"/>
      <c r="AK290" s="152"/>
      <c r="AL290" s="152"/>
      <c r="AM290" s="152"/>
    </row>
    <row r="291">
      <c r="A291" s="152"/>
      <c r="B291" s="152"/>
      <c r="C291" s="152"/>
      <c r="D291" s="152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  <c r="AA291" s="152"/>
      <c r="AB291" s="152"/>
      <c r="AC291" s="152"/>
      <c r="AD291" s="152"/>
      <c r="AE291" s="152"/>
      <c r="AF291" s="152"/>
      <c r="AG291" s="152"/>
      <c r="AH291" s="152"/>
      <c r="AI291" s="152"/>
      <c r="AJ291" s="152"/>
      <c r="AK291" s="152"/>
      <c r="AL291" s="152"/>
      <c r="AM291" s="152"/>
    </row>
    <row r="292">
      <c r="A292" s="152"/>
      <c r="B292" s="152"/>
      <c r="C292" s="152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  <c r="AA292" s="152"/>
      <c r="AB292" s="152"/>
      <c r="AC292" s="152"/>
      <c r="AD292" s="152"/>
      <c r="AE292" s="152"/>
      <c r="AF292" s="152"/>
      <c r="AG292" s="152"/>
      <c r="AH292" s="152"/>
      <c r="AI292" s="152"/>
      <c r="AJ292" s="152"/>
      <c r="AK292" s="152"/>
      <c r="AL292" s="152"/>
      <c r="AM292" s="152"/>
    </row>
    <row r="293">
      <c r="A293" s="152"/>
      <c r="B293" s="152"/>
      <c r="C293" s="152"/>
      <c r="D293" s="152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  <c r="AA293" s="152"/>
      <c r="AB293" s="152"/>
      <c r="AC293" s="152"/>
      <c r="AD293" s="152"/>
      <c r="AE293" s="152"/>
      <c r="AF293" s="152"/>
      <c r="AG293" s="152"/>
      <c r="AH293" s="152"/>
      <c r="AI293" s="152"/>
      <c r="AJ293" s="152"/>
      <c r="AK293" s="152"/>
      <c r="AL293" s="152"/>
      <c r="AM293" s="152"/>
    </row>
    <row r="294">
      <c r="A294" s="152"/>
      <c r="B294" s="152"/>
      <c r="C294" s="152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  <c r="AA294" s="152"/>
      <c r="AB294" s="152"/>
      <c r="AC294" s="152"/>
      <c r="AD294" s="152"/>
      <c r="AE294" s="152"/>
      <c r="AF294" s="152"/>
      <c r="AG294" s="152"/>
      <c r="AH294" s="152"/>
      <c r="AI294" s="152"/>
      <c r="AJ294" s="152"/>
      <c r="AK294" s="152"/>
      <c r="AL294" s="152"/>
      <c r="AM294" s="152"/>
    </row>
    <row r="295">
      <c r="A295" s="152"/>
      <c r="B295" s="152"/>
      <c r="C295" s="152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  <c r="AA295" s="152"/>
      <c r="AB295" s="152"/>
      <c r="AC295" s="152"/>
      <c r="AD295" s="152"/>
      <c r="AE295" s="152"/>
      <c r="AF295" s="152"/>
      <c r="AG295" s="152"/>
      <c r="AH295" s="152"/>
      <c r="AI295" s="152"/>
      <c r="AJ295" s="152"/>
      <c r="AK295" s="152"/>
      <c r="AL295" s="152"/>
      <c r="AM295" s="152"/>
    </row>
    <row r="296">
      <c r="A296" s="152"/>
      <c r="B296" s="152"/>
      <c r="C296" s="152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  <c r="AA296" s="152"/>
      <c r="AB296" s="152"/>
      <c r="AC296" s="152"/>
      <c r="AD296" s="152"/>
      <c r="AE296" s="152"/>
      <c r="AF296" s="152"/>
      <c r="AG296" s="152"/>
      <c r="AH296" s="152"/>
      <c r="AI296" s="152"/>
      <c r="AJ296" s="152"/>
      <c r="AK296" s="152"/>
      <c r="AL296" s="152"/>
      <c r="AM296" s="152"/>
    </row>
    <row r="297">
      <c r="A297" s="152"/>
      <c r="B297" s="152"/>
      <c r="C297" s="152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  <c r="AA297" s="152"/>
      <c r="AB297" s="152"/>
      <c r="AC297" s="152"/>
      <c r="AD297" s="152"/>
      <c r="AE297" s="152"/>
      <c r="AF297" s="152"/>
      <c r="AG297" s="152"/>
      <c r="AH297" s="152"/>
      <c r="AI297" s="152"/>
      <c r="AJ297" s="152"/>
      <c r="AK297" s="152"/>
      <c r="AL297" s="152"/>
      <c r="AM297" s="152"/>
    </row>
    <row r="298">
      <c r="A298" s="152"/>
      <c r="B298" s="152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  <c r="AA298" s="152"/>
      <c r="AB298" s="152"/>
      <c r="AC298" s="152"/>
      <c r="AD298" s="152"/>
      <c r="AE298" s="152"/>
      <c r="AF298" s="152"/>
      <c r="AG298" s="152"/>
      <c r="AH298" s="152"/>
      <c r="AI298" s="152"/>
      <c r="AJ298" s="152"/>
      <c r="AK298" s="152"/>
      <c r="AL298" s="152"/>
      <c r="AM298" s="152"/>
    </row>
    <row r="299">
      <c r="A299" s="152"/>
      <c r="B299" s="152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  <c r="AA299" s="152"/>
      <c r="AB299" s="152"/>
      <c r="AC299" s="152"/>
      <c r="AD299" s="152"/>
      <c r="AE299" s="152"/>
      <c r="AF299" s="152"/>
      <c r="AG299" s="152"/>
      <c r="AH299" s="152"/>
      <c r="AI299" s="152"/>
      <c r="AJ299" s="152"/>
      <c r="AK299" s="152"/>
      <c r="AL299" s="152"/>
      <c r="AM299" s="152"/>
    </row>
    <row r="300">
      <c r="A300" s="152"/>
      <c r="B300" s="152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  <c r="AA300" s="152"/>
      <c r="AB300" s="152"/>
      <c r="AC300" s="152"/>
      <c r="AD300" s="152"/>
      <c r="AE300" s="152"/>
      <c r="AF300" s="152"/>
      <c r="AG300" s="152"/>
      <c r="AH300" s="152"/>
      <c r="AI300" s="152"/>
      <c r="AJ300" s="152"/>
      <c r="AK300" s="152"/>
      <c r="AL300" s="152"/>
      <c r="AM300" s="152"/>
    </row>
    <row r="301">
      <c r="A301" s="152"/>
      <c r="B301" s="152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  <c r="AA301" s="152"/>
      <c r="AB301" s="152"/>
      <c r="AC301" s="152"/>
      <c r="AD301" s="152"/>
      <c r="AE301" s="152"/>
      <c r="AF301" s="152"/>
      <c r="AG301" s="152"/>
      <c r="AH301" s="152"/>
      <c r="AI301" s="152"/>
      <c r="AJ301" s="152"/>
      <c r="AK301" s="152"/>
      <c r="AL301" s="152"/>
      <c r="AM301" s="152"/>
    </row>
    <row r="302">
      <c r="A302" s="152"/>
      <c r="B302" s="152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  <c r="AA302" s="152"/>
      <c r="AB302" s="152"/>
      <c r="AC302" s="152"/>
      <c r="AD302" s="152"/>
      <c r="AE302" s="152"/>
      <c r="AF302" s="152"/>
      <c r="AG302" s="152"/>
      <c r="AH302" s="152"/>
      <c r="AI302" s="152"/>
      <c r="AJ302" s="152"/>
      <c r="AK302" s="152"/>
      <c r="AL302" s="152"/>
      <c r="AM302" s="152"/>
    </row>
    <row r="303">
      <c r="A303" s="152"/>
      <c r="B303" s="152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  <c r="AA303" s="152"/>
      <c r="AB303" s="152"/>
      <c r="AC303" s="152"/>
      <c r="AD303" s="152"/>
      <c r="AE303" s="152"/>
      <c r="AF303" s="152"/>
      <c r="AG303" s="152"/>
      <c r="AH303" s="152"/>
      <c r="AI303" s="152"/>
      <c r="AJ303" s="152"/>
      <c r="AK303" s="152"/>
      <c r="AL303" s="152"/>
      <c r="AM303" s="152"/>
    </row>
    <row r="304">
      <c r="A304" s="152"/>
      <c r="B304" s="152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  <c r="AA304" s="152"/>
      <c r="AB304" s="152"/>
      <c r="AC304" s="152"/>
      <c r="AD304" s="152"/>
      <c r="AE304" s="152"/>
      <c r="AF304" s="152"/>
      <c r="AG304" s="152"/>
      <c r="AH304" s="152"/>
      <c r="AI304" s="152"/>
      <c r="AJ304" s="152"/>
      <c r="AK304" s="152"/>
      <c r="AL304" s="152"/>
      <c r="AM304" s="152"/>
    </row>
    <row r="305">
      <c r="A305" s="152"/>
      <c r="B305" s="152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  <c r="AA305" s="152"/>
      <c r="AB305" s="152"/>
      <c r="AC305" s="152"/>
      <c r="AD305" s="152"/>
      <c r="AE305" s="152"/>
      <c r="AF305" s="152"/>
      <c r="AG305" s="152"/>
      <c r="AH305" s="152"/>
      <c r="AI305" s="152"/>
      <c r="AJ305" s="152"/>
      <c r="AK305" s="152"/>
      <c r="AL305" s="152"/>
      <c r="AM305" s="152"/>
    </row>
    <row r="306">
      <c r="A306" s="152"/>
      <c r="B306" s="152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  <c r="AA306" s="152"/>
      <c r="AB306" s="152"/>
      <c r="AC306" s="152"/>
      <c r="AD306" s="152"/>
      <c r="AE306" s="152"/>
      <c r="AF306" s="152"/>
      <c r="AG306" s="152"/>
      <c r="AH306" s="152"/>
      <c r="AI306" s="152"/>
      <c r="AJ306" s="152"/>
      <c r="AK306" s="152"/>
      <c r="AL306" s="152"/>
      <c r="AM306" s="152"/>
    </row>
    <row r="307">
      <c r="A307" s="152"/>
      <c r="B307" s="152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  <c r="AA307" s="152"/>
      <c r="AB307" s="152"/>
      <c r="AC307" s="152"/>
      <c r="AD307" s="152"/>
      <c r="AE307" s="152"/>
      <c r="AF307" s="152"/>
      <c r="AG307" s="152"/>
      <c r="AH307" s="152"/>
      <c r="AI307" s="152"/>
      <c r="AJ307" s="152"/>
      <c r="AK307" s="152"/>
      <c r="AL307" s="152"/>
      <c r="AM307" s="152"/>
    </row>
    <row r="308">
      <c r="A308" s="152"/>
      <c r="B308" s="152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  <c r="AA308" s="152"/>
      <c r="AB308" s="152"/>
      <c r="AC308" s="152"/>
      <c r="AD308" s="152"/>
      <c r="AE308" s="152"/>
      <c r="AF308" s="152"/>
      <c r="AG308" s="152"/>
      <c r="AH308" s="152"/>
      <c r="AI308" s="152"/>
      <c r="AJ308" s="152"/>
      <c r="AK308" s="152"/>
      <c r="AL308" s="152"/>
      <c r="AM308" s="152"/>
    </row>
    <row r="309">
      <c r="A309" s="152"/>
      <c r="B309" s="152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  <c r="AA309" s="152"/>
      <c r="AB309" s="152"/>
      <c r="AC309" s="152"/>
      <c r="AD309" s="152"/>
      <c r="AE309" s="152"/>
      <c r="AF309" s="152"/>
      <c r="AG309" s="152"/>
      <c r="AH309" s="152"/>
      <c r="AI309" s="152"/>
      <c r="AJ309" s="152"/>
      <c r="AK309" s="152"/>
      <c r="AL309" s="152"/>
      <c r="AM309" s="152"/>
    </row>
    <row r="310">
      <c r="A310" s="152"/>
      <c r="B310" s="152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  <c r="AA310" s="152"/>
      <c r="AB310" s="152"/>
      <c r="AC310" s="152"/>
      <c r="AD310" s="152"/>
      <c r="AE310" s="152"/>
      <c r="AF310" s="152"/>
      <c r="AG310" s="152"/>
      <c r="AH310" s="152"/>
      <c r="AI310" s="152"/>
      <c r="AJ310" s="152"/>
      <c r="AK310" s="152"/>
      <c r="AL310" s="152"/>
      <c r="AM310" s="152"/>
    </row>
    <row r="311">
      <c r="A311" s="152"/>
      <c r="B311" s="152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  <c r="AA311" s="152"/>
      <c r="AB311" s="152"/>
      <c r="AC311" s="152"/>
      <c r="AD311" s="152"/>
      <c r="AE311" s="152"/>
      <c r="AF311" s="152"/>
      <c r="AG311" s="152"/>
      <c r="AH311" s="152"/>
      <c r="AI311" s="152"/>
      <c r="AJ311" s="152"/>
      <c r="AK311" s="152"/>
      <c r="AL311" s="152"/>
      <c r="AM311" s="152"/>
    </row>
    <row r="312">
      <c r="A312" s="152"/>
      <c r="B312" s="152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  <c r="AA312" s="152"/>
      <c r="AB312" s="152"/>
      <c r="AC312" s="152"/>
      <c r="AD312" s="152"/>
      <c r="AE312" s="152"/>
      <c r="AF312" s="152"/>
      <c r="AG312" s="152"/>
      <c r="AH312" s="152"/>
      <c r="AI312" s="152"/>
      <c r="AJ312" s="152"/>
      <c r="AK312" s="152"/>
      <c r="AL312" s="152"/>
      <c r="AM312" s="152"/>
    </row>
    <row r="313">
      <c r="A313" s="152"/>
      <c r="B313" s="152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  <c r="AA313" s="152"/>
      <c r="AB313" s="152"/>
      <c r="AC313" s="152"/>
      <c r="AD313" s="152"/>
      <c r="AE313" s="152"/>
      <c r="AF313" s="152"/>
      <c r="AG313" s="152"/>
      <c r="AH313" s="152"/>
      <c r="AI313" s="152"/>
      <c r="AJ313" s="152"/>
      <c r="AK313" s="152"/>
      <c r="AL313" s="152"/>
      <c r="AM313" s="152"/>
    </row>
    <row r="314">
      <c r="A314" s="152"/>
      <c r="B314" s="152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  <c r="AA314" s="152"/>
      <c r="AB314" s="152"/>
      <c r="AC314" s="152"/>
      <c r="AD314" s="152"/>
      <c r="AE314" s="152"/>
      <c r="AF314" s="152"/>
      <c r="AG314" s="152"/>
      <c r="AH314" s="152"/>
      <c r="AI314" s="152"/>
      <c r="AJ314" s="152"/>
      <c r="AK314" s="152"/>
      <c r="AL314" s="152"/>
      <c r="AM314" s="152"/>
    </row>
    <row r="315">
      <c r="A315" s="152"/>
      <c r="B315" s="152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  <c r="AA315" s="152"/>
      <c r="AB315" s="152"/>
      <c r="AC315" s="152"/>
      <c r="AD315" s="152"/>
      <c r="AE315" s="152"/>
      <c r="AF315" s="152"/>
      <c r="AG315" s="152"/>
      <c r="AH315" s="152"/>
      <c r="AI315" s="152"/>
      <c r="AJ315" s="152"/>
      <c r="AK315" s="152"/>
      <c r="AL315" s="152"/>
      <c r="AM315" s="152"/>
    </row>
    <row r="316">
      <c r="A316" s="152"/>
      <c r="B316" s="152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  <c r="AA316" s="152"/>
      <c r="AB316" s="152"/>
      <c r="AC316" s="152"/>
      <c r="AD316" s="152"/>
      <c r="AE316" s="152"/>
      <c r="AF316" s="152"/>
      <c r="AG316" s="152"/>
      <c r="AH316" s="152"/>
      <c r="AI316" s="152"/>
      <c r="AJ316" s="152"/>
      <c r="AK316" s="152"/>
      <c r="AL316" s="152"/>
      <c r="AM316" s="152"/>
    </row>
    <row r="317">
      <c r="A317" s="152"/>
      <c r="B317" s="152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  <c r="AA317" s="152"/>
      <c r="AB317" s="152"/>
      <c r="AC317" s="152"/>
      <c r="AD317" s="152"/>
      <c r="AE317" s="152"/>
      <c r="AF317" s="152"/>
      <c r="AG317" s="152"/>
      <c r="AH317" s="152"/>
      <c r="AI317" s="152"/>
      <c r="AJ317" s="152"/>
      <c r="AK317" s="152"/>
      <c r="AL317" s="152"/>
      <c r="AM317" s="152"/>
    </row>
    <row r="318">
      <c r="A318" s="152"/>
      <c r="B318" s="152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  <c r="AA318" s="152"/>
      <c r="AB318" s="152"/>
      <c r="AC318" s="152"/>
      <c r="AD318" s="152"/>
      <c r="AE318" s="152"/>
      <c r="AF318" s="152"/>
      <c r="AG318" s="152"/>
      <c r="AH318" s="152"/>
      <c r="AI318" s="152"/>
      <c r="AJ318" s="152"/>
      <c r="AK318" s="152"/>
      <c r="AL318" s="152"/>
      <c r="AM318" s="152"/>
    </row>
    <row r="319">
      <c r="A319" s="152"/>
      <c r="B319" s="152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  <c r="AA319" s="152"/>
      <c r="AB319" s="152"/>
      <c r="AC319" s="152"/>
      <c r="AD319" s="152"/>
      <c r="AE319" s="152"/>
      <c r="AF319" s="152"/>
      <c r="AG319" s="152"/>
      <c r="AH319" s="152"/>
      <c r="AI319" s="152"/>
      <c r="AJ319" s="152"/>
      <c r="AK319" s="152"/>
      <c r="AL319" s="152"/>
      <c r="AM319" s="152"/>
    </row>
    <row r="320">
      <c r="A320" s="152"/>
      <c r="B320" s="152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  <c r="AA320" s="152"/>
      <c r="AB320" s="152"/>
      <c r="AC320" s="152"/>
      <c r="AD320" s="152"/>
      <c r="AE320" s="152"/>
      <c r="AF320" s="152"/>
      <c r="AG320" s="152"/>
      <c r="AH320" s="152"/>
      <c r="AI320" s="152"/>
      <c r="AJ320" s="152"/>
      <c r="AK320" s="152"/>
      <c r="AL320" s="152"/>
      <c r="AM320" s="152"/>
    </row>
    <row r="321">
      <c r="A321" s="152"/>
      <c r="B321" s="152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  <c r="AA321" s="152"/>
      <c r="AB321" s="152"/>
      <c r="AC321" s="152"/>
      <c r="AD321" s="152"/>
      <c r="AE321" s="152"/>
      <c r="AF321" s="152"/>
      <c r="AG321" s="152"/>
      <c r="AH321" s="152"/>
      <c r="AI321" s="152"/>
      <c r="AJ321" s="152"/>
      <c r="AK321" s="152"/>
      <c r="AL321" s="152"/>
      <c r="AM321" s="152"/>
    </row>
    <row r="322">
      <c r="A322" s="152"/>
      <c r="B322" s="152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  <c r="AA322" s="152"/>
      <c r="AB322" s="152"/>
      <c r="AC322" s="152"/>
      <c r="AD322" s="152"/>
      <c r="AE322" s="152"/>
      <c r="AF322" s="152"/>
      <c r="AG322" s="152"/>
      <c r="AH322" s="152"/>
      <c r="AI322" s="152"/>
      <c r="AJ322" s="152"/>
      <c r="AK322" s="152"/>
      <c r="AL322" s="152"/>
      <c r="AM322" s="152"/>
    </row>
    <row r="323">
      <c r="A323" s="152"/>
      <c r="B323" s="152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  <c r="AA323" s="152"/>
      <c r="AB323" s="152"/>
      <c r="AC323" s="152"/>
      <c r="AD323" s="152"/>
      <c r="AE323" s="152"/>
      <c r="AF323" s="152"/>
      <c r="AG323" s="152"/>
      <c r="AH323" s="152"/>
      <c r="AI323" s="152"/>
      <c r="AJ323" s="152"/>
      <c r="AK323" s="152"/>
      <c r="AL323" s="152"/>
      <c r="AM323" s="152"/>
    </row>
    <row r="324">
      <c r="A324" s="152"/>
      <c r="B324" s="152"/>
      <c r="C324" s="152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  <c r="AA324" s="152"/>
      <c r="AB324" s="152"/>
      <c r="AC324" s="152"/>
      <c r="AD324" s="152"/>
      <c r="AE324" s="152"/>
      <c r="AF324" s="152"/>
      <c r="AG324" s="152"/>
      <c r="AH324" s="152"/>
      <c r="AI324" s="152"/>
      <c r="AJ324" s="152"/>
      <c r="AK324" s="152"/>
      <c r="AL324" s="152"/>
      <c r="AM324" s="152"/>
    </row>
    <row r="325">
      <c r="A325" s="152"/>
      <c r="B325" s="152"/>
      <c r="C325" s="152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  <c r="AA325" s="152"/>
      <c r="AB325" s="152"/>
      <c r="AC325" s="152"/>
      <c r="AD325" s="152"/>
      <c r="AE325" s="152"/>
      <c r="AF325" s="152"/>
      <c r="AG325" s="152"/>
      <c r="AH325" s="152"/>
      <c r="AI325" s="152"/>
      <c r="AJ325" s="152"/>
      <c r="AK325" s="152"/>
      <c r="AL325" s="152"/>
      <c r="AM325" s="152"/>
    </row>
    <row r="326">
      <c r="A326" s="152"/>
      <c r="B326" s="152"/>
      <c r="C326" s="152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  <c r="AA326" s="152"/>
      <c r="AB326" s="152"/>
      <c r="AC326" s="152"/>
      <c r="AD326" s="152"/>
      <c r="AE326" s="152"/>
      <c r="AF326" s="152"/>
      <c r="AG326" s="152"/>
      <c r="AH326" s="152"/>
      <c r="AI326" s="152"/>
      <c r="AJ326" s="152"/>
      <c r="AK326" s="152"/>
      <c r="AL326" s="152"/>
      <c r="AM326" s="152"/>
    </row>
    <row r="327">
      <c r="A327" s="152"/>
      <c r="B327" s="152"/>
      <c r="C327" s="152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  <c r="AA327" s="152"/>
      <c r="AB327" s="152"/>
      <c r="AC327" s="152"/>
      <c r="AD327" s="152"/>
      <c r="AE327" s="152"/>
      <c r="AF327" s="152"/>
      <c r="AG327" s="152"/>
      <c r="AH327" s="152"/>
      <c r="AI327" s="152"/>
      <c r="AJ327" s="152"/>
      <c r="AK327" s="152"/>
      <c r="AL327" s="152"/>
      <c r="AM327" s="152"/>
    </row>
    <row r="328">
      <c r="A328" s="152"/>
      <c r="B328" s="152"/>
      <c r="C328" s="152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  <c r="AA328" s="152"/>
      <c r="AB328" s="152"/>
      <c r="AC328" s="152"/>
      <c r="AD328" s="152"/>
      <c r="AE328" s="152"/>
      <c r="AF328" s="152"/>
      <c r="AG328" s="152"/>
      <c r="AH328" s="152"/>
      <c r="AI328" s="152"/>
      <c r="AJ328" s="152"/>
      <c r="AK328" s="152"/>
      <c r="AL328" s="152"/>
      <c r="AM328" s="152"/>
    </row>
    <row r="329">
      <c r="A329" s="152"/>
      <c r="B329" s="152"/>
      <c r="C329" s="152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  <c r="AA329" s="152"/>
      <c r="AB329" s="152"/>
      <c r="AC329" s="152"/>
      <c r="AD329" s="152"/>
      <c r="AE329" s="152"/>
      <c r="AF329" s="152"/>
      <c r="AG329" s="152"/>
      <c r="AH329" s="152"/>
      <c r="AI329" s="152"/>
      <c r="AJ329" s="152"/>
      <c r="AK329" s="152"/>
      <c r="AL329" s="152"/>
      <c r="AM329" s="152"/>
    </row>
    <row r="330">
      <c r="A330" s="152"/>
      <c r="B330" s="152"/>
      <c r="C330" s="152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  <c r="AA330" s="152"/>
      <c r="AB330" s="152"/>
      <c r="AC330" s="152"/>
      <c r="AD330" s="152"/>
      <c r="AE330" s="152"/>
      <c r="AF330" s="152"/>
      <c r="AG330" s="152"/>
      <c r="AH330" s="152"/>
      <c r="AI330" s="152"/>
      <c r="AJ330" s="152"/>
      <c r="AK330" s="152"/>
      <c r="AL330" s="152"/>
      <c r="AM330" s="152"/>
    </row>
    <row r="331">
      <c r="A331" s="152"/>
      <c r="B331" s="152"/>
      <c r="C331" s="152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  <c r="AA331" s="152"/>
      <c r="AB331" s="152"/>
      <c r="AC331" s="152"/>
      <c r="AD331" s="152"/>
      <c r="AE331" s="152"/>
      <c r="AF331" s="152"/>
      <c r="AG331" s="152"/>
      <c r="AH331" s="152"/>
      <c r="AI331" s="152"/>
      <c r="AJ331" s="152"/>
      <c r="AK331" s="152"/>
      <c r="AL331" s="152"/>
      <c r="AM331" s="152"/>
    </row>
    <row r="332">
      <c r="A332" s="152"/>
      <c r="B332" s="152"/>
      <c r="C332" s="152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  <c r="AA332" s="152"/>
      <c r="AB332" s="152"/>
      <c r="AC332" s="152"/>
      <c r="AD332" s="152"/>
      <c r="AE332" s="152"/>
      <c r="AF332" s="152"/>
      <c r="AG332" s="152"/>
      <c r="AH332" s="152"/>
      <c r="AI332" s="152"/>
      <c r="AJ332" s="152"/>
      <c r="AK332" s="152"/>
      <c r="AL332" s="152"/>
      <c r="AM332" s="152"/>
    </row>
    <row r="333">
      <c r="A333" s="152"/>
      <c r="B333" s="152"/>
      <c r="C333" s="152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  <c r="AA333" s="152"/>
      <c r="AB333" s="152"/>
      <c r="AC333" s="152"/>
      <c r="AD333" s="152"/>
      <c r="AE333" s="152"/>
      <c r="AF333" s="152"/>
      <c r="AG333" s="152"/>
      <c r="AH333" s="152"/>
      <c r="AI333" s="152"/>
      <c r="AJ333" s="152"/>
      <c r="AK333" s="152"/>
      <c r="AL333" s="152"/>
      <c r="AM333" s="152"/>
    </row>
    <row r="334">
      <c r="A334" s="152"/>
      <c r="B334" s="152"/>
      <c r="C334" s="152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  <c r="AA334" s="152"/>
      <c r="AB334" s="152"/>
      <c r="AC334" s="152"/>
      <c r="AD334" s="152"/>
      <c r="AE334" s="152"/>
      <c r="AF334" s="152"/>
      <c r="AG334" s="152"/>
      <c r="AH334" s="152"/>
      <c r="AI334" s="152"/>
      <c r="AJ334" s="152"/>
      <c r="AK334" s="152"/>
      <c r="AL334" s="152"/>
      <c r="AM334" s="152"/>
    </row>
    <row r="335">
      <c r="A335" s="152"/>
      <c r="B335" s="152"/>
      <c r="C335" s="152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  <c r="AA335" s="152"/>
      <c r="AB335" s="152"/>
      <c r="AC335" s="152"/>
      <c r="AD335" s="152"/>
      <c r="AE335" s="152"/>
      <c r="AF335" s="152"/>
      <c r="AG335" s="152"/>
      <c r="AH335" s="152"/>
      <c r="AI335" s="152"/>
      <c r="AJ335" s="152"/>
      <c r="AK335" s="152"/>
      <c r="AL335" s="152"/>
      <c r="AM335" s="152"/>
    </row>
    <row r="336">
      <c r="A336" s="152"/>
      <c r="B336" s="152"/>
      <c r="C336" s="152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  <c r="AA336" s="152"/>
      <c r="AB336" s="152"/>
      <c r="AC336" s="152"/>
      <c r="AD336" s="152"/>
      <c r="AE336" s="152"/>
      <c r="AF336" s="152"/>
      <c r="AG336" s="152"/>
      <c r="AH336" s="152"/>
      <c r="AI336" s="152"/>
      <c r="AJ336" s="152"/>
      <c r="AK336" s="152"/>
      <c r="AL336" s="152"/>
      <c r="AM336" s="152"/>
    </row>
    <row r="337">
      <c r="A337" s="152"/>
      <c r="B337" s="152"/>
      <c r="C337" s="152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  <c r="AA337" s="152"/>
      <c r="AB337" s="152"/>
      <c r="AC337" s="152"/>
      <c r="AD337" s="152"/>
      <c r="AE337" s="152"/>
      <c r="AF337" s="152"/>
      <c r="AG337" s="152"/>
      <c r="AH337" s="152"/>
      <c r="AI337" s="152"/>
      <c r="AJ337" s="152"/>
      <c r="AK337" s="152"/>
      <c r="AL337" s="152"/>
      <c r="AM337" s="152"/>
    </row>
    <row r="338">
      <c r="A338" s="152"/>
      <c r="B338" s="152"/>
      <c r="C338" s="152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  <c r="AA338" s="152"/>
      <c r="AB338" s="152"/>
      <c r="AC338" s="152"/>
      <c r="AD338" s="152"/>
      <c r="AE338" s="152"/>
      <c r="AF338" s="152"/>
      <c r="AG338" s="152"/>
      <c r="AH338" s="152"/>
      <c r="AI338" s="152"/>
      <c r="AJ338" s="152"/>
      <c r="AK338" s="152"/>
      <c r="AL338" s="152"/>
      <c r="AM338" s="152"/>
    </row>
    <row r="339">
      <c r="A339" s="152"/>
      <c r="B339" s="152"/>
      <c r="C339" s="152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  <c r="AA339" s="152"/>
      <c r="AB339" s="152"/>
      <c r="AC339" s="152"/>
      <c r="AD339" s="152"/>
      <c r="AE339" s="152"/>
      <c r="AF339" s="152"/>
      <c r="AG339" s="152"/>
      <c r="AH339" s="152"/>
      <c r="AI339" s="152"/>
      <c r="AJ339" s="152"/>
      <c r="AK339" s="152"/>
      <c r="AL339" s="152"/>
      <c r="AM339" s="152"/>
    </row>
    <row r="340">
      <c r="A340" s="152"/>
      <c r="B340" s="152"/>
      <c r="C340" s="152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  <c r="AA340" s="152"/>
      <c r="AB340" s="152"/>
      <c r="AC340" s="152"/>
      <c r="AD340" s="152"/>
      <c r="AE340" s="152"/>
      <c r="AF340" s="152"/>
      <c r="AG340" s="152"/>
      <c r="AH340" s="152"/>
      <c r="AI340" s="152"/>
      <c r="AJ340" s="152"/>
      <c r="AK340" s="152"/>
      <c r="AL340" s="152"/>
      <c r="AM340" s="152"/>
    </row>
    <row r="341">
      <c r="A341" s="152"/>
      <c r="B341" s="152"/>
      <c r="C341" s="152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  <c r="AA341" s="152"/>
      <c r="AB341" s="152"/>
      <c r="AC341" s="152"/>
      <c r="AD341" s="152"/>
      <c r="AE341" s="152"/>
      <c r="AF341" s="152"/>
      <c r="AG341" s="152"/>
      <c r="AH341" s="152"/>
      <c r="AI341" s="152"/>
      <c r="AJ341" s="152"/>
      <c r="AK341" s="152"/>
      <c r="AL341" s="152"/>
      <c r="AM341" s="152"/>
    </row>
    <row r="342">
      <c r="A342" s="152"/>
      <c r="B342" s="152"/>
      <c r="C342" s="152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  <c r="AA342" s="152"/>
      <c r="AB342" s="152"/>
      <c r="AC342" s="152"/>
      <c r="AD342" s="152"/>
      <c r="AE342" s="152"/>
      <c r="AF342" s="152"/>
      <c r="AG342" s="152"/>
      <c r="AH342" s="152"/>
      <c r="AI342" s="152"/>
      <c r="AJ342" s="152"/>
      <c r="AK342" s="152"/>
      <c r="AL342" s="152"/>
      <c r="AM342" s="152"/>
    </row>
    <row r="343">
      <c r="A343" s="152"/>
      <c r="B343" s="152"/>
      <c r="C343" s="152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  <c r="AA343" s="152"/>
      <c r="AB343" s="152"/>
      <c r="AC343" s="152"/>
      <c r="AD343" s="152"/>
      <c r="AE343" s="152"/>
      <c r="AF343" s="152"/>
      <c r="AG343" s="152"/>
      <c r="AH343" s="152"/>
      <c r="AI343" s="152"/>
      <c r="AJ343" s="152"/>
      <c r="AK343" s="152"/>
      <c r="AL343" s="152"/>
      <c r="AM343" s="152"/>
    </row>
    <row r="344">
      <c r="A344" s="152"/>
      <c r="B344" s="152"/>
      <c r="C344" s="152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  <c r="AA344" s="152"/>
      <c r="AB344" s="152"/>
      <c r="AC344" s="152"/>
      <c r="AD344" s="152"/>
      <c r="AE344" s="152"/>
      <c r="AF344" s="152"/>
      <c r="AG344" s="152"/>
      <c r="AH344" s="152"/>
      <c r="AI344" s="152"/>
      <c r="AJ344" s="152"/>
      <c r="AK344" s="152"/>
      <c r="AL344" s="152"/>
      <c r="AM344" s="152"/>
    </row>
    <row r="345">
      <c r="A345" s="152"/>
      <c r="B345" s="152"/>
      <c r="C345" s="152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  <c r="AA345" s="152"/>
      <c r="AB345" s="152"/>
      <c r="AC345" s="152"/>
      <c r="AD345" s="152"/>
      <c r="AE345" s="152"/>
      <c r="AF345" s="152"/>
      <c r="AG345" s="152"/>
      <c r="AH345" s="152"/>
      <c r="AI345" s="152"/>
      <c r="AJ345" s="152"/>
      <c r="AK345" s="152"/>
      <c r="AL345" s="152"/>
      <c r="AM345" s="152"/>
    </row>
    <row r="346">
      <c r="A346" s="152"/>
      <c r="B346" s="152"/>
      <c r="C346" s="152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  <c r="AA346" s="152"/>
      <c r="AB346" s="152"/>
      <c r="AC346" s="152"/>
      <c r="AD346" s="152"/>
      <c r="AE346" s="152"/>
      <c r="AF346" s="152"/>
      <c r="AG346" s="152"/>
      <c r="AH346" s="152"/>
      <c r="AI346" s="152"/>
      <c r="AJ346" s="152"/>
      <c r="AK346" s="152"/>
      <c r="AL346" s="152"/>
      <c r="AM346" s="152"/>
    </row>
    <row r="347">
      <c r="A347" s="152"/>
      <c r="B347" s="152"/>
      <c r="C347" s="152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  <c r="AA347" s="152"/>
      <c r="AB347" s="152"/>
      <c r="AC347" s="152"/>
      <c r="AD347" s="152"/>
      <c r="AE347" s="152"/>
      <c r="AF347" s="152"/>
      <c r="AG347" s="152"/>
      <c r="AH347" s="152"/>
      <c r="AI347" s="152"/>
      <c r="AJ347" s="152"/>
      <c r="AK347" s="152"/>
      <c r="AL347" s="152"/>
      <c r="AM347" s="152"/>
    </row>
    <row r="348">
      <c r="A348" s="152"/>
      <c r="B348" s="152"/>
      <c r="C348" s="152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  <c r="AA348" s="152"/>
      <c r="AB348" s="152"/>
      <c r="AC348" s="152"/>
      <c r="AD348" s="152"/>
      <c r="AE348" s="152"/>
      <c r="AF348" s="152"/>
      <c r="AG348" s="152"/>
      <c r="AH348" s="152"/>
      <c r="AI348" s="152"/>
      <c r="AJ348" s="152"/>
      <c r="AK348" s="152"/>
      <c r="AL348" s="152"/>
      <c r="AM348" s="152"/>
    </row>
    <row r="349">
      <c r="A349" s="152"/>
      <c r="B349" s="152"/>
      <c r="C349" s="152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  <c r="AA349" s="152"/>
      <c r="AB349" s="152"/>
      <c r="AC349" s="152"/>
      <c r="AD349" s="152"/>
      <c r="AE349" s="152"/>
      <c r="AF349" s="152"/>
      <c r="AG349" s="152"/>
      <c r="AH349" s="152"/>
      <c r="AI349" s="152"/>
      <c r="AJ349" s="152"/>
      <c r="AK349" s="152"/>
      <c r="AL349" s="152"/>
      <c r="AM349" s="152"/>
    </row>
    <row r="350">
      <c r="A350" s="152"/>
      <c r="B350" s="152"/>
      <c r="C350" s="152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  <c r="AA350" s="152"/>
      <c r="AB350" s="152"/>
      <c r="AC350" s="152"/>
      <c r="AD350" s="152"/>
      <c r="AE350" s="152"/>
      <c r="AF350" s="152"/>
      <c r="AG350" s="152"/>
      <c r="AH350" s="152"/>
      <c r="AI350" s="152"/>
      <c r="AJ350" s="152"/>
      <c r="AK350" s="152"/>
      <c r="AL350" s="152"/>
      <c r="AM350" s="152"/>
    </row>
    <row r="351">
      <c r="A351" s="152"/>
      <c r="B351" s="152"/>
      <c r="C351" s="152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  <c r="AA351" s="152"/>
      <c r="AB351" s="152"/>
      <c r="AC351" s="152"/>
      <c r="AD351" s="152"/>
      <c r="AE351" s="152"/>
      <c r="AF351" s="152"/>
      <c r="AG351" s="152"/>
      <c r="AH351" s="152"/>
      <c r="AI351" s="152"/>
      <c r="AJ351" s="152"/>
      <c r="AK351" s="152"/>
      <c r="AL351" s="152"/>
      <c r="AM351" s="152"/>
    </row>
    <row r="352">
      <c r="A352" s="152"/>
      <c r="B352" s="152"/>
      <c r="C352" s="152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  <c r="AA352" s="152"/>
      <c r="AB352" s="152"/>
      <c r="AC352" s="152"/>
      <c r="AD352" s="152"/>
      <c r="AE352" s="152"/>
      <c r="AF352" s="152"/>
      <c r="AG352" s="152"/>
      <c r="AH352" s="152"/>
      <c r="AI352" s="152"/>
      <c r="AJ352" s="152"/>
      <c r="AK352" s="152"/>
      <c r="AL352" s="152"/>
      <c r="AM352" s="152"/>
    </row>
    <row r="353">
      <c r="A353" s="152"/>
      <c r="B353" s="152"/>
      <c r="C353" s="152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  <c r="AA353" s="152"/>
      <c r="AB353" s="152"/>
      <c r="AC353" s="152"/>
      <c r="AD353" s="152"/>
      <c r="AE353" s="152"/>
      <c r="AF353" s="152"/>
      <c r="AG353" s="152"/>
      <c r="AH353" s="152"/>
      <c r="AI353" s="152"/>
      <c r="AJ353" s="152"/>
      <c r="AK353" s="152"/>
      <c r="AL353" s="152"/>
      <c r="AM353" s="152"/>
    </row>
    <row r="354">
      <c r="A354" s="152"/>
      <c r="B354" s="152"/>
      <c r="C354" s="152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  <c r="AA354" s="152"/>
      <c r="AB354" s="152"/>
      <c r="AC354" s="152"/>
      <c r="AD354" s="152"/>
      <c r="AE354" s="152"/>
      <c r="AF354" s="152"/>
      <c r="AG354" s="152"/>
      <c r="AH354" s="152"/>
      <c r="AI354" s="152"/>
      <c r="AJ354" s="152"/>
      <c r="AK354" s="152"/>
      <c r="AL354" s="152"/>
      <c r="AM354" s="152"/>
    </row>
    <row r="355">
      <c r="A355" s="152"/>
      <c r="B355" s="152"/>
      <c r="C355" s="152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  <c r="AA355" s="152"/>
      <c r="AB355" s="152"/>
      <c r="AC355" s="152"/>
      <c r="AD355" s="152"/>
      <c r="AE355" s="152"/>
      <c r="AF355" s="152"/>
      <c r="AG355" s="152"/>
      <c r="AH355" s="152"/>
      <c r="AI355" s="152"/>
      <c r="AJ355" s="152"/>
      <c r="AK355" s="152"/>
      <c r="AL355" s="152"/>
      <c r="AM355" s="152"/>
    </row>
    <row r="356">
      <c r="A356" s="152"/>
      <c r="B356" s="152"/>
      <c r="C356" s="152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  <c r="AA356" s="152"/>
      <c r="AB356" s="152"/>
      <c r="AC356" s="152"/>
      <c r="AD356" s="152"/>
      <c r="AE356" s="152"/>
      <c r="AF356" s="152"/>
      <c r="AG356" s="152"/>
      <c r="AH356" s="152"/>
      <c r="AI356" s="152"/>
      <c r="AJ356" s="152"/>
      <c r="AK356" s="152"/>
      <c r="AL356" s="152"/>
      <c r="AM356" s="152"/>
    </row>
    <row r="357">
      <c r="A357" s="152"/>
      <c r="B357" s="152"/>
      <c r="C357" s="152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  <c r="AA357" s="152"/>
      <c r="AB357" s="152"/>
      <c r="AC357" s="152"/>
      <c r="AD357" s="152"/>
      <c r="AE357" s="152"/>
      <c r="AF357" s="152"/>
      <c r="AG357" s="152"/>
      <c r="AH357" s="152"/>
      <c r="AI357" s="152"/>
      <c r="AJ357" s="152"/>
      <c r="AK357" s="152"/>
      <c r="AL357" s="152"/>
      <c r="AM357" s="152"/>
    </row>
    <row r="358">
      <c r="A358" s="152"/>
      <c r="B358" s="152"/>
      <c r="C358" s="152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  <c r="AA358" s="152"/>
      <c r="AB358" s="152"/>
      <c r="AC358" s="152"/>
      <c r="AD358" s="152"/>
      <c r="AE358" s="152"/>
      <c r="AF358" s="152"/>
      <c r="AG358" s="152"/>
      <c r="AH358" s="152"/>
      <c r="AI358" s="152"/>
      <c r="AJ358" s="152"/>
      <c r="AK358" s="152"/>
      <c r="AL358" s="152"/>
      <c r="AM358" s="152"/>
    </row>
    <row r="359">
      <c r="A359" s="152"/>
      <c r="B359" s="152"/>
      <c r="C359" s="152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  <c r="AA359" s="152"/>
      <c r="AB359" s="152"/>
      <c r="AC359" s="152"/>
      <c r="AD359" s="152"/>
      <c r="AE359" s="152"/>
      <c r="AF359" s="152"/>
      <c r="AG359" s="152"/>
      <c r="AH359" s="152"/>
      <c r="AI359" s="152"/>
      <c r="AJ359" s="152"/>
      <c r="AK359" s="152"/>
      <c r="AL359" s="152"/>
      <c r="AM359" s="152"/>
    </row>
    <row r="360">
      <c r="A360" s="152"/>
      <c r="B360" s="152"/>
      <c r="C360" s="152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  <c r="AA360" s="152"/>
      <c r="AB360" s="152"/>
      <c r="AC360" s="152"/>
      <c r="AD360" s="152"/>
      <c r="AE360" s="152"/>
      <c r="AF360" s="152"/>
      <c r="AG360" s="152"/>
      <c r="AH360" s="152"/>
      <c r="AI360" s="152"/>
      <c r="AJ360" s="152"/>
      <c r="AK360" s="152"/>
      <c r="AL360" s="152"/>
      <c r="AM360" s="152"/>
    </row>
    <row r="361">
      <c r="A361" s="152"/>
      <c r="B361" s="152"/>
      <c r="C361" s="152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  <c r="AA361" s="152"/>
      <c r="AB361" s="152"/>
      <c r="AC361" s="152"/>
      <c r="AD361" s="152"/>
      <c r="AE361" s="152"/>
      <c r="AF361" s="152"/>
      <c r="AG361" s="152"/>
      <c r="AH361" s="152"/>
      <c r="AI361" s="152"/>
      <c r="AJ361" s="152"/>
      <c r="AK361" s="152"/>
      <c r="AL361" s="152"/>
      <c r="AM361" s="152"/>
    </row>
    <row r="362">
      <c r="A362" s="152"/>
      <c r="B362" s="152"/>
      <c r="C362" s="152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  <c r="AA362" s="152"/>
      <c r="AB362" s="152"/>
      <c r="AC362" s="152"/>
      <c r="AD362" s="152"/>
      <c r="AE362" s="152"/>
      <c r="AF362" s="152"/>
      <c r="AG362" s="152"/>
      <c r="AH362" s="152"/>
      <c r="AI362" s="152"/>
      <c r="AJ362" s="152"/>
      <c r="AK362" s="152"/>
      <c r="AL362" s="152"/>
      <c r="AM362" s="152"/>
    </row>
    <row r="363">
      <c r="A363" s="152"/>
      <c r="B363" s="152"/>
      <c r="C363" s="152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  <c r="AA363" s="152"/>
      <c r="AB363" s="152"/>
      <c r="AC363" s="152"/>
      <c r="AD363" s="152"/>
      <c r="AE363" s="152"/>
      <c r="AF363" s="152"/>
      <c r="AG363" s="152"/>
      <c r="AH363" s="152"/>
      <c r="AI363" s="152"/>
      <c r="AJ363" s="152"/>
      <c r="AK363" s="152"/>
      <c r="AL363" s="152"/>
      <c r="AM363" s="152"/>
    </row>
    <row r="364">
      <c r="A364" s="152"/>
      <c r="B364" s="152"/>
      <c r="C364" s="152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  <c r="AA364" s="152"/>
      <c r="AB364" s="152"/>
      <c r="AC364" s="152"/>
      <c r="AD364" s="152"/>
      <c r="AE364" s="152"/>
      <c r="AF364" s="152"/>
      <c r="AG364" s="152"/>
      <c r="AH364" s="152"/>
      <c r="AI364" s="152"/>
      <c r="AJ364" s="152"/>
      <c r="AK364" s="152"/>
      <c r="AL364" s="152"/>
      <c r="AM364" s="152"/>
    </row>
    <row r="365">
      <c r="A365" s="152"/>
      <c r="B365" s="152"/>
      <c r="C365" s="152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  <c r="AA365" s="152"/>
      <c r="AB365" s="152"/>
      <c r="AC365" s="152"/>
      <c r="AD365" s="152"/>
      <c r="AE365" s="152"/>
      <c r="AF365" s="152"/>
      <c r="AG365" s="152"/>
      <c r="AH365" s="152"/>
      <c r="AI365" s="152"/>
      <c r="AJ365" s="152"/>
      <c r="AK365" s="152"/>
      <c r="AL365" s="152"/>
      <c r="AM365" s="152"/>
    </row>
    <row r="366">
      <c r="A366" s="152"/>
      <c r="B366" s="152"/>
      <c r="C366" s="152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  <c r="AA366" s="152"/>
      <c r="AB366" s="152"/>
      <c r="AC366" s="152"/>
      <c r="AD366" s="152"/>
      <c r="AE366" s="152"/>
      <c r="AF366" s="152"/>
      <c r="AG366" s="152"/>
      <c r="AH366" s="152"/>
      <c r="AI366" s="152"/>
      <c r="AJ366" s="152"/>
      <c r="AK366" s="152"/>
      <c r="AL366" s="152"/>
      <c r="AM366" s="152"/>
    </row>
    <row r="367">
      <c r="A367" s="152"/>
      <c r="B367" s="152"/>
      <c r="C367" s="152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  <c r="AA367" s="152"/>
      <c r="AB367" s="152"/>
      <c r="AC367" s="152"/>
      <c r="AD367" s="152"/>
      <c r="AE367" s="152"/>
      <c r="AF367" s="152"/>
      <c r="AG367" s="152"/>
      <c r="AH367" s="152"/>
      <c r="AI367" s="152"/>
      <c r="AJ367" s="152"/>
      <c r="AK367" s="152"/>
      <c r="AL367" s="152"/>
      <c r="AM367" s="152"/>
    </row>
    <row r="368">
      <c r="A368" s="152"/>
      <c r="B368" s="152"/>
      <c r="C368" s="152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  <c r="AA368" s="152"/>
      <c r="AB368" s="152"/>
      <c r="AC368" s="152"/>
      <c r="AD368" s="152"/>
      <c r="AE368" s="152"/>
      <c r="AF368" s="152"/>
      <c r="AG368" s="152"/>
      <c r="AH368" s="152"/>
      <c r="AI368" s="152"/>
      <c r="AJ368" s="152"/>
      <c r="AK368" s="152"/>
      <c r="AL368" s="152"/>
      <c r="AM368" s="152"/>
    </row>
    <row r="369">
      <c r="A369" s="152"/>
      <c r="B369" s="152"/>
      <c r="C369" s="152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  <c r="AA369" s="152"/>
      <c r="AB369" s="152"/>
      <c r="AC369" s="152"/>
      <c r="AD369" s="152"/>
      <c r="AE369" s="152"/>
      <c r="AF369" s="152"/>
      <c r="AG369" s="152"/>
      <c r="AH369" s="152"/>
      <c r="AI369" s="152"/>
      <c r="AJ369" s="152"/>
      <c r="AK369" s="152"/>
      <c r="AL369" s="152"/>
      <c r="AM369" s="152"/>
    </row>
    <row r="370">
      <c r="A370" s="152"/>
      <c r="B370" s="152"/>
      <c r="C370" s="152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  <c r="AA370" s="152"/>
      <c r="AB370" s="152"/>
      <c r="AC370" s="152"/>
      <c r="AD370" s="152"/>
      <c r="AE370" s="152"/>
      <c r="AF370" s="152"/>
      <c r="AG370" s="152"/>
      <c r="AH370" s="152"/>
      <c r="AI370" s="152"/>
      <c r="AJ370" s="152"/>
      <c r="AK370" s="152"/>
      <c r="AL370" s="152"/>
      <c r="AM370" s="152"/>
    </row>
    <row r="371">
      <c r="A371" s="152"/>
      <c r="B371" s="152"/>
      <c r="C371" s="152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  <c r="AA371" s="152"/>
      <c r="AB371" s="152"/>
      <c r="AC371" s="152"/>
      <c r="AD371" s="152"/>
      <c r="AE371" s="152"/>
      <c r="AF371" s="152"/>
      <c r="AG371" s="152"/>
      <c r="AH371" s="152"/>
      <c r="AI371" s="152"/>
      <c r="AJ371" s="152"/>
      <c r="AK371" s="152"/>
      <c r="AL371" s="152"/>
      <c r="AM371" s="152"/>
    </row>
    <row r="372">
      <c r="A372" s="152"/>
      <c r="B372" s="152"/>
      <c r="C372" s="152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  <c r="AA372" s="152"/>
      <c r="AB372" s="152"/>
      <c r="AC372" s="152"/>
      <c r="AD372" s="152"/>
      <c r="AE372" s="152"/>
      <c r="AF372" s="152"/>
      <c r="AG372" s="152"/>
      <c r="AH372" s="152"/>
      <c r="AI372" s="152"/>
      <c r="AJ372" s="152"/>
      <c r="AK372" s="152"/>
      <c r="AL372" s="152"/>
      <c r="AM372" s="152"/>
    </row>
    <row r="373">
      <c r="A373" s="152"/>
      <c r="B373" s="152"/>
      <c r="C373" s="152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  <c r="AA373" s="152"/>
      <c r="AB373" s="152"/>
      <c r="AC373" s="152"/>
      <c r="AD373" s="152"/>
      <c r="AE373" s="152"/>
      <c r="AF373" s="152"/>
      <c r="AG373" s="152"/>
      <c r="AH373" s="152"/>
      <c r="AI373" s="152"/>
      <c r="AJ373" s="152"/>
      <c r="AK373" s="152"/>
      <c r="AL373" s="152"/>
      <c r="AM373" s="152"/>
    </row>
    <row r="374">
      <c r="A374" s="152"/>
      <c r="B374" s="152"/>
      <c r="C374" s="152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  <c r="AA374" s="152"/>
      <c r="AB374" s="152"/>
      <c r="AC374" s="152"/>
      <c r="AD374" s="152"/>
      <c r="AE374" s="152"/>
      <c r="AF374" s="152"/>
      <c r="AG374" s="152"/>
      <c r="AH374" s="152"/>
      <c r="AI374" s="152"/>
      <c r="AJ374" s="152"/>
      <c r="AK374" s="152"/>
      <c r="AL374" s="152"/>
      <c r="AM374" s="152"/>
    </row>
    <row r="375">
      <c r="A375" s="152"/>
      <c r="B375" s="152"/>
      <c r="C375" s="152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  <c r="AA375" s="152"/>
      <c r="AB375" s="152"/>
      <c r="AC375" s="152"/>
      <c r="AD375" s="152"/>
      <c r="AE375" s="152"/>
      <c r="AF375" s="152"/>
      <c r="AG375" s="152"/>
      <c r="AH375" s="152"/>
      <c r="AI375" s="152"/>
      <c r="AJ375" s="152"/>
      <c r="AK375" s="152"/>
      <c r="AL375" s="152"/>
      <c r="AM375" s="152"/>
    </row>
    <row r="376">
      <c r="A376" s="152"/>
      <c r="B376" s="152"/>
      <c r="C376" s="152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  <c r="AA376" s="152"/>
      <c r="AB376" s="152"/>
      <c r="AC376" s="152"/>
      <c r="AD376" s="152"/>
      <c r="AE376" s="152"/>
      <c r="AF376" s="152"/>
      <c r="AG376" s="152"/>
      <c r="AH376" s="152"/>
      <c r="AI376" s="152"/>
      <c r="AJ376" s="152"/>
      <c r="AK376" s="152"/>
      <c r="AL376" s="152"/>
      <c r="AM376" s="152"/>
    </row>
    <row r="377">
      <c r="A377" s="152"/>
      <c r="B377" s="152"/>
      <c r="C377" s="152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  <c r="AA377" s="152"/>
      <c r="AB377" s="152"/>
      <c r="AC377" s="152"/>
      <c r="AD377" s="152"/>
      <c r="AE377" s="152"/>
      <c r="AF377" s="152"/>
      <c r="AG377" s="152"/>
      <c r="AH377" s="152"/>
      <c r="AI377" s="152"/>
      <c r="AJ377" s="152"/>
      <c r="AK377" s="152"/>
      <c r="AL377" s="152"/>
      <c r="AM377" s="152"/>
    </row>
    <row r="378">
      <c r="A378" s="152"/>
      <c r="B378" s="152"/>
      <c r="C378" s="152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  <c r="AA378" s="152"/>
      <c r="AB378" s="152"/>
      <c r="AC378" s="152"/>
      <c r="AD378" s="152"/>
      <c r="AE378" s="152"/>
      <c r="AF378" s="152"/>
      <c r="AG378" s="152"/>
      <c r="AH378" s="152"/>
      <c r="AI378" s="152"/>
      <c r="AJ378" s="152"/>
      <c r="AK378" s="152"/>
      <c r="AL378" s="152"/>
      <c r="AM378" s="152"/>
    </row>
    <row r="379">
      <c r="A379" s="152"/>
      <c r="B379" s="152"/>
      <c r="C379" s="152"/>
      <c r="D379" s="152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  <c r="AA379" s="152"/>
      <c r="AB379" s="152"/>
      <c r="AC379" s="152"/>
      <c r="AD379" s="152"/>
      <c r="AE379" s="152"/>
      <c r="AF379" s="152"/>
      <c r="AG379" s="152"/>
      <c r="AH379" s="152"/>
      <c r="AI379" s="152"/>
      <c r="AJ379" s="152"/>
      <c r="AK379" s="152"/>
      <c r="AL379" s="152"/>
      <c r="AM379" s="152"/>
    </row>
    <row r="380">
      <c r="A380" s="152"/>
      <c r="B380" s="152"/>
      <c r="C380" s="152"/>
      <c r="D380" s="152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  <c r="AA380" s="152"/>
      <c r="AB380" s="152"/>
      <c r="AC380" s="152"/>
      <c r="AD380" s="152"/>
      <c r="AE380" s="152"/>
      <c r="AF380" s="152"/>
      <c r="AG380" s="152"/>
      <c r="AH380" s="152"/>
      <c r="AI380" s="152"/>
      <c r="AJ380" s="152"/>
      <c r="AK380" s="152"/>
      <c r="AL380" s="152"/>
      <c r="AM380" s="152"/>
    </row>
    <row r="381">
      <c r="A381" s="152"/>
      <c r="B381" s="152"/>
      <c r="C381" s="152"/>
      <c r="D381" s="152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  <c r="AA381" s="152"/>
      <c r="AB381" s="152"/>
      <c r="AC381" s="152"/>
      <c r="AD381" s="152"/>
      <c r="AE381" s="152"/>
      <c r="AF381" s="152"/>
      <c r="AG381" s="152"/>
      <c r="AH381" s="152"/>
      <c r="AI381" s="152"/>
      <c r="AJ381" s="152"/>
      <c r="AK381" s="152"/>
      <c r="AL381" s="152"/>
      <c r="AM381" s="152"/>
    </row>
    <row r="382">
      <c r="A382" s="152"/>
      <c r="B382" s="152"/>
      <c r="C382" s="152"/>
      <c r="D382" s="152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  <c r="AA382" s="152"/>
      <c r="AB382" s="152"/>
      <c r="AC382" s="152"/>
      <c r="AD382" s="152"/>
      <c r="AE382" s="152"/>
      <c r="AF382" s="152"/>
      <c r="AG382" s="152"/>
      <c r="AH382" s="152"/>
      <c r="AI382" s="152"/>
      <c r="AJ382" s="152"/>
      <c r="AK382" s="152"/>
      <c r="AL382" s="152"/>
      <c r="AM382" s="152"/>
    </row>
    <row r="383">
      <c r="A383" s="152"/>
      <c r="B383" s="152"/>
      <c r="C383" s="152"/>
      <c r="D383" s="152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  <c r="AA383" s="152"/>
      <c r="AB383" s="152"/>
      <c r="AC383" s="152"/>
      <c r="AD383" s="152"/>
      <c r="AE383" s="152"/>
      <c r="AF383" s="152"/>
      <c r="AG383" s="152"/>
      <c r="AH383" s="152"/>
      <c r="AI383" s="152"/>
      <c r="AJ383" s="152"/>
      <c r="AK383" s="152"/>
      <c r="AL383" s="152"/>
      <c r="AM383" s="152"/>
    </row>
    <row r="384">
      <c r="A384" s="152"/>
      <c r="B384" s="152"/>
      <c r="C384" s="152"/>
      <c r="D384" s="152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  <c r="AA384" s="152"/>
      <c r="AB384" s="152"/>
      <c r="AC384" s="152"/>
      <c r="AD384" s="152"/>
      <c r="AE384" s="152"/>
      <c r="AF384" s="152"/>
      <c r="AG384" s="152"/>
      <c r="AH384" s="152"/>
      <c r="AI384" s="152"/>
      <c r="AJ384" s="152"/>
      <c r="AK384" s="152"/>
      <c r="AL384" s="152"/>
      <c r="AM384" s="152"/>
    </row>
    <row r="385">
      <c r="A385" s="152"/>
      <c r="B385" s="152"/>
      <c r="C385" s="152"/>
      <c r="D385" s="152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  <c r="AA385" s="152"/>
      <c r="AB385" s="152"/>
      <c r="AC385" s="152"/>
      <c r="AD385" s="152"/>
      <c r="AE385" s="152"/>
      <c r="AF385" s="152"/>
      <c r="AG385" s="152"/>
      <c r="AH385" s="152"/>
      <c r="AI385" s="152"/>
      <c r="AJ385" s="152"/>
      <c r="AK385" s="152"/>
      <c r="AL385" s="152"/>
      <c r="AM385" s="152"/>
    </row>
    <row r="386">
      <c r="A386" s="152"/>
      <c r="B386" s="152"/>
      <c r="C386" s="152"/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  <c r="AA386" s="152"/>
      <c r="AB386" s="152"/>
      <c r="AC386" s="152"/>
      <c r="AD386" s="152"/>
      <c r="AE386" s="152"/>
      <c r="AF386" s="152"/>
      <c r="AG386" s="152"/>
      <c r="AH386" s="152"/>
      <c r="AI386" s="152"/>
      <c r="AJ386" s="152"/>
      <c r="AK386" s="152"/>
      <c r="AL386" s="152"/>
      <c r="AM386" s="152"/>
    </row>
    <row r="387">
      <c r="A387" s="152"/>
      <c r="B387" s="152"/>
      <c r="C387" s="152"/>
      <c r="D387" s="152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  <c r="AA387" s="152"/>
      <c r="AB387" s="152"/>
      <c r="AC387" s="152"/>
      <c r="AD387" s="152"/>
      <c r="AE387" s="152"/>
      <c r="AF387" s="152"/>
      <c r="AG387" s="152"/>
      <c r="AH387" s="152"/>
      <c r="AI387" s="152"/>
      <c r="AJ387" s="152"/>
      <c r="AK387" s="152"/>
      <c r="AL387" s="152"/>
      <c r="AM387" s="152"/>
    </row>
    <row r="388">
      <c r="A388" s="152"/>
      <c r="B388" s="152"/>
      <c r="C388" s="152"/>
      <c r="D388" s="152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  <c r="AA388" s="152"/>
      <c r="AB388" s="152"/>
      <c r="AC388" s="152"/>
      <c r="AD388" s="152"/>
      <c r="AE388" s="152"/>
      <c r="AF388" s="152"/>
      <c r="AG388" s="152"/>
      <c r="AH388" s="152"/>
      <c r="AI388" s="152"/>
      <c r="AJ388" s="152"/>
      <c r="AK388" s="152"/>
      <c r="AL388" s="152"/>
      <c r="AM388" s="152"/>
    </row>
    <row r="389">
      <c r="A389" s="152"/>
      <c r="B389" s="152"/>
      <c r="C389" s="152"/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  <c r="AA389" s="152"/>
      <c r="AB389" s="152"/>
      <c r="AC389" s="152"/>
      <c r="AD389" s="152"/>
      <c r="AE389" s="152"/>
      <c r="AF389" s="152"/>
      <c r="AG389" s="152"/>
      <c r="AH389" s="152"/>
      <c r="AI389" s="152"/>
      <c r="AJ389" s="152"/>
      <c r="AK389" s="152"/>
      <c r="AL389" s="152"/>
      <c r="AM389" s="152"/>
    </row>
    <row r="390">
      <c r="A390" s="152"/>
      <c r="B390" s="152"/>
      <c r="C390" s="152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  <c r="AA390" s="152"/>
      <c r="AB390" s="152"/>
      <c r="AC390" s="152"/>
      <c r="AD390" s="152"/>
      <c r="AE390" s="152"/>
      <c r="AF390" s="152"/>
      <c r="AG390" s="152"/>
      <c r="AH390" s="152"/>
      <c r="AI390" s="152"/>
      <c r="AJ390" s="152"/>
      <c r="AK390" s="152"/>
      <c r="AL390" s="152"/>
      <c r="AM390" s="152"/>
    </row>
    <row r="391">
      <c r="A391" s="152"/>
      <c r="B391" s="152"/>
      <c r="C391" s="152"/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  <c r="AA391" s="152"/>
      <c r="AB391" s="152"/>
      <c r="AC391" s="152"/>
      <c r="AD391" s="152"/>
      <c r="AE391" s="152"/>
      <c r="AF391" s="152"/>
      <c r="AG391" s="152"/>
      <c r="AH391" s="152"/>
      <c r="AI391" s="152"/>
      <c r="AJ391" s="152"/>
      <c r="AK391" s="152"/>
      <c r="AL391" s="152"/>
      <c r="AM391" s="152"/>
    </row>
    <row r="392">
      <c r="A392" s="152"/>
      <c r="B392" s="152"/>
      <c r="C392" s="152"/>
      <c r="D392" s="152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  <c r="AA392" s="152"/>
      <c r="AB392" s="152"/>
      <c r="AC392" s="152"/>
      <c r="AD392" s="152"/>
      <c r="AE392" s="152"/>
      <c r="AF392" s="152"/>
      <c r="AG392" s="152"/>
      <c r="AH392" s="152"/>
      <c r="AI392" s="152"/>
      <c r="AJ392" s="152"/>
      <c r="AK392" s="152"/>
      <c r="AL392" s="152"/>
      <c r="AM392" s="152"/>
    </row>
    <row r="393">
      <c r="A393" s="152"/>
      <c r="B393" s="152"/>
      <c r="C393" s="152"/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  <c r="AA393" s="152"/>
      <c r="AB393" s="152"/>
      <c r="AC393" s="152"/>
      <c r="AD393" s="152"/>
      <c r="AE393" s="152"/>
      <c r="AF393" s="152"/>
      <c r="AG393" s="152"/>
      <c r="AH393" s="152"/>
      <c r="AI393" s="152"/>
      <c r="AJ393" s="152"/>
      <c r="AK393" s="152"/>
      <c r="AL393" s="152"/>
      <c r="AM393" s="152"/>
    </row>
    <row r="394">
      <c r="A394" s="152"/>
      <c r="B394" s="152"/>
      <c r="C394" s="152"/>
      <c r="D394" s="152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  <c r="AA394" s="152"/>
      <c r="AB394" s="152"/>
      <c r="AC394" s="152"/>
      <c r="AD394" s="152"/>
      <c r="AE394" s="152"/>
      <c r="AF394" s="152"/>
      <c r="AG394" s="152"/>
      <c r="AH394" s="152"/>
      <c r="AI394" s="152"/>
      <c r="AJ394" s="152"/>
      <c r="AK394" s="152"/>
      <c r="AL394" s="152"/>
      <c r="AM394" s="152"/>
    </row>
    <row r="395">
      <c r="A395" s="152"/>
      <c r="B395" s="152"/>
      <c r="C395" s="152"/>
      <c r="D395" s="152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  <c r="AA395" s="152"/>
      <c r="AB395" s="152"/>
      <c r="AC395" s="152"/>
      <c r="AD395" s="152"/>
      <c r="AE395" s="152"/>
      <c r="AF395" s="152"/>
      <c r="AG395" s="152"/>
      <c r="AH395" s="152"/>
      <c r="AI395" s="152"/>
      <c r="AJ395" s="152"/>
      <c r="AK395" s="152"/>
      <c r="AL395" s="152"/>
      <c r="AM395" s="152"/>
    </row>
    <row r="396">
      <c r="A396" s="152"/>
      <c r="B396" s="152"/>
      <c r="C396" s="152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  <c r="AA396" s="152"/>
      <c r="AB396" s="152"/>
      <c r="AC396" s="152"/>
      <c r="AD396" s="152"/>
      <c r="AE396" s="152"/>
      <c r="AF396" s="152"/>
      <c r="AG396" s="152"/>
      <c r="AH396" s="152"/>
      <c r="AI396" s="152"/>
      <c r="AJ396" s="152"/>
      <c r="AK396" s="152"/>
      <c r="AL396" s="152"/>
      <c r="AM396" s="152"/>
    </row>
    <row r="397">
      <c r="A397" s="152"/>
      <c r="B397" s="152"/>
      <c r="C397" s="152"/>
      <c r="D397" s="152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  <c r="AA397" s="152"/>
      <c r="AB397" s="152"/>
      <c r="AC397" s="152"/>
      <c r="AD397" s="152"/>
      <c r="AE397" s="152"/>
      <c r="AF397" s="152"/>
      <c r="AG397" s="152"/>
      <c r="AH397" s="152"/>
      <c r="AI397" s="152"/>
      <c r="AJ397" s="152"/>
      <c r="AK397" s="152"/>
      <c r="AL397" s="152"/>
      <c r="AM397" s="152"/>
    </row>
    <row r="398">
      <c r="A398" s="152"/>
      <c r="B398" s="152"/>
      <c r="C398" s="152"/>
      <c r="D398" s="152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  <c r="AA398" s="152"/>
      <c r="AB398" s="152"/>
      <c r="AC398" s="152"/>
      <c r="AD398" s="152"/>
      <c r="AE398" s="152"/>
      <c r="AF398" s="152"/>
      <c r="AG398" s="152"/>
      <c r="AH398" s="152"/>
      <c r="AI398" s="152"/>
      <c r="AJ398" s="152"/>
      <c r="AK398" s="152"/>
      <c r="AL398" s="152"/>
      <c r="AM398" s="152"/>
    </row>
    <row r="399">
      <c r="A399" s="152"/>
      <c r="B399" s="152"/>
      <c r="C399" s="152"/>
      <c r="D399" s="152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  <c r="AA399" s="152"/>
      <c r="AB399" s="152"/>
      <c r="AC399" s="152"/>
      <c r="AD399" s="152"/>
      <c r="AE399" s="152"/>
      <c r="AF399" s="152"/>
      <c r="AG399" s="152"/>
      <c r="AH399" s="152"/>
      <c r="AI399" s="152"/>
      <c r="AJ399" s="152"/>
      <c r="AK399" s="152"/>
      <c r="AL399" s="152"/>
      <c r="AM399" s="152"/>
    </row>
    <row r="400">
      <c r="A400" s="152"/>
      <c r="B400" s="152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  <c r="AA400" s="152"/>
      <c r="AB400" s="152"/>
      <c r="AC400" s="152"/>
      <c r="AD400" s="152"/>
      <c r="AE400" s="152"/>
      <c r="AF400" s="152"/>
      <c r="AG400" s="152"/>
      <c r="AH400" s="152"/>
      <c r="AI400" s="152"/>
      <c r="AJ400" s="152"/>
      <c r="AK400" s="152"/>
      <c r="AL400" s="152"/>
      <c r="AM400" s="152"/>
    </row>
    <row r="401">
      <c r="A401" s="152"/>
      <c r="B401" s="152"/>
      <c r="C401" s="152"/>
      <c r="D401" s="152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  <c r="AA401" s="152"/>
      <c r="AB401" s="152"/>
      <c r="AC401" s="152"/>
      <c r="AD401" s="152"/>
      <c r="AE401" s="152"/>
      <c r="AF401" s="152"/>
      <c r="AG401" s="152"/>
      <c r="AH401" s="152"/>
      <c r="AI401" s="152"/>
      <c r="AJ401" s="152"/>
      <c r="AK401" s="152"/>
      <c r="AL401" s="152"/>
      <c r="AM401" s="152"/>
    </row>
    <row r="402">
      <c r="A402" s="152"/>
      <c r="B402" s="152"/>
      <c r="C402" s="152"/>
      <c r="D402" s="152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  <c r="AA402" s="152"/>
      <c r="AB402" s="152"/>
      <c r="AC402" s="152"/>
      <c r="AD402" s="152"/>
      <c r="AE402" s="152"/>
      <c r="AF402" s="152"/>
      <c r="AG402" s="152"/>
      <c r="AH402" s="152"/>
      <c r="AI402" s="152"/>
      <c r="AJ402" s="152"/>
      <c r="AK402" s="152"/>
      <c r="AL402" s="152"/>
      <c r="AM402" s="152"/>
    </row>
    <row r="403">
      <c r="A403" s="152"/>
      <c r="B403" s="152"/>
      <c r="C403" s="152"/>
      <c r="D403" s="152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  <c r="AA403" s="152"/>
      <c r="AB403" s="152"/>
      <c r="AC403" s="152"/>
      <c r="AD403" s="152"/>
      <c r="AE403" s="152"/>
      <c r="AF403" s="152"/>
      <c r="AG403" s="152"/>
      <c r="AH403" s="152"/>
      <c r="AI403" s="152"/>
      <c r="AJ403" s="152"/>
      <c r="AK403" s="152"/>
      <c r="AL403" s="152"/>
      <c r="AM403" s="152"/>
    </row>
    <row r="404">
      <c r="A404" s="152"/>
      <c r="B404" s="152"/>
      <c r="C404" s="152"/>
      <c r="D404" s="152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  <c r="AA404" s="152"/>
      <c r="AB404" s="152"/>
      <c r="AC404" s="152"/>
      <c r="AD404" s="152"/>
      <c r="AE404" s="152"/>
      <c r="AF404" s="152"/>
      <c r="AG404" s="152"/>
      <c r="AH404" s="152"/>
      <c r="AI404" s="152"/>
      <c r="AJ404" s="152"/>
      <c r="AK404" s="152"/>
      <c r="AL404" s="152"/>
      <c r="AM404" s="152"/>
    </row>
    <row r="405">
      <c r="A405" s="152"/>
      <c r="B405" s="152"/>
      <c r="C405" s="152"/>
      <c r="D405" s="152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  <c r="AA405" s="152"/>
      <c r="AB405" s="152"/>
      <c r="AC405" s="152"/>
      <c r="AD405" s="152"/>
      <c r="AE405" s="152"/>
      <c r="AF405" s="152"/>
      <c r="AG405" s="152"/>
      <c r="AH405" s="152"/>
      <c r="AI405" s="152"/>
      <c r="AJ405" s="152"/>
      <c r="AK405" s="152"/>
      <c r="AL405" s="152"/>
      <c r="AM405" s="152"/>
    </row>
    <row r="406">
      <c r="A406" s="152"/>
      <c r="B406" s="152"/>
      <c r="C406" s="152"/>
      <c r="D406" s="152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  <c r="AA406" s="152"/>
      <c r="AB406" s="152"/>
      <c r="AC406" s="152"/>
      <c r="AD406" s="152"/>
      <c r="AE406" s="152"/>
      <c r="AF406" s="152"/>
      <c r="AG406" s="152"/>
      <c r="AH406" s="152"/>
      <c r="AI406" s="152"/>
      <c r="AJ406" s="152"/>
      <c r="AK406" s="152"/>
      <c r="AL406" s="152"/>
      <c r="AM406" s="152"/>
    </row>
    <row r="407">
      <c r="A407" s="152"/>
      <c r="B407" s="152"/>
      <c r="C407" s="152"/>
      <c r="D407" s="152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  <c r="AA407" s="152"/>
      <c r="AB407" s="152"/>
      <c r="AC407" s="152"/>
      <c r="AD407" s="152"/>
      <c r="AE407" s="152"/>
      <c r="AF407" s="152"/>
      <c r="AG407" s="152"/>
      <c r="AH407" s="152"/>
      <c r="AI407" s="152"/>
      <c r="AJ407" s="152"/>
      <c r="AK407" s="152"/>
      <c r="AL407" s="152"/>
      <c r="AM407" s="152"/>
    </row>
    <row r="408">
      <c r="A408" s="152"/>
      <c r="B408" s="152"/>
      <c r="C408" s="152"/>
      <c r="D408" s="152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  <c r="AA408" s="152"/>
      <c r="AB408" s="152"/>
      <c r="AC408" s="152"/>
      <c r="AD408" s="152"/>
      <c r="AE408" s="152"/>
      <c r="AF408" s="152"/>
      <c r="AG408" s="152"/>
      <c r="AH408" s="152"/>
      <c r="AI408" s="152"/>
      <c r="AJ408" s="152"/>
      <c r="AK408" s="152"/>
      <c r="AL408" s="152"/>
      <c r="AM408" s="152"/>
    </row>
    <row r="409">
      <c r="A409" s="152"/>
      <c r="B409" s="152"/>
      <c r="C409" s="152"/>
      <c r="D409" s="152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  <c r="AA409" s="152"/>
      <c r="AB409" s="152"/>
      <c r="AC409" s="152"/>
      <c r="AD409" s="152"/>
      <c r="AE409" s="152"/>
      <c r="AF409" s="152"/>
      <c r="AG409" s="152"/>
      <c r="AH409" s="152"/>
      <c r="AI409" s="152"/>
      <c r="AJ409" s="152"/>
      <c r="AK409" s="152"/>
      <c r="AL409" s="152"/>
      <c r="AM409" s="152"/>
    </row>
    <row r="410">
      <c r="A410" s="152"/>
      <c r="B410" s="152"/>
      <c r="C410" s="152"/>
      <c r="D410" s="152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  <c r="AA410" s="152"/>
      <c r="AB410" s="152"/>
      <c r="AC410" s="152"/>
      <c r="AD410" s="152"/>
      <c r="AE410" s="152"/>
      <c r="AF410" s="152"/>
      <c r="AG410" s="152"/>
      <c r="AH410" s="152"/>
      <c r="AI410" s="152"/>
      <c r="AJ410" s="152"/>
      <c r="AK410" s="152"/>
      <c r="AL410" s="152"/>
      <c r="AM410" s="152"/>
    </row>
    <row r="411">
      <c r="A411" s="152"/>
      <c r="B411" s="152"/>
      <c r="C411" s="152"/>
      <c r="D411" s="152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  <c r="AA411" s="152"/>
      <c r="AB411" s="152"/>
      <c r="AC411" s="152"/>
      <c r="AD411" s="152"/>
      <c r="AE411" s="152"/>
      <c r="AF411" s="152"/>
      <c r="AG411" s="152"/>
      <c r="AH411" s="152"/>
      <c r="AI411" s="152"/>
      <c r="AJ411" s="152"/>
      <c r="AK411" s="152"/>
      <c r="AL411" s="152"/>
      <c r="AM411" s="152"/>
    </row>
    <row r="412">
      <c r="A412" s="152"/>
      <c r="B412" s="152"/>
      <c r="C412" s="152"/>
      <c r="D412" s="152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  <c r="AA412" s="152"/>
      <c r="AB412" s="152"/>
      <c r="AC412" s="152"/>
      <c r="AD412" s="152"/>
      <c r="AE412" s="152"/>
      <c r="AF412" s="152"/>
      <c r="AG412" s="152"/>
      <c r="AH412" s="152"/>
      <c r="AI412" s="152"/>
      <c r="AJ412" s="152"/>
      <c r="AK412" s="152"/>
      <c r="AL412" s="152"/>
      <c r="AM412" s="152"/>
    </row>
    <row r="413">
      <c r="A413" s="152"/>
      <c r="B413" s="152"/>
      <c r="C413" s="152"/>
      <c r="D413" s="152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  <c r="AA413" s="152"/>
      <c r="AB413" s="152"/>
      <c r="AC413" s="152"/>
      <c r="AD413" s="152"/>
      <c r="AE413" s="152"/>
      <c r="AF413" s="152"/>
      <c r="AG413" s="152"/>
      <c r="AH413" s="152"/>
      <c r="AI413" s="152"/>
      <c r="AJ413" s="152"/>
      <c r="AK413" s="152"/>
      <c r="AL413" s="152"/>
      <c r="AM413" s="152"/>
    </row>
    <row r="414">
      <c r="A414" s="152"/>
      <c r="B414" s="152"/>
      <c r="C414" s="152"/>
      <c r="D414" s="152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  <c r="AA414" s="152"/>
      <c r="AB414" s="152"/>
      <c r="AC414" s="152"/>
      <c r="AD414" s="152"/>
      <c r="AE414" s="152"/>
      <c r="AF414" s="152"/>
      <c r="AG414" s="152"/>
      <c r="AH414" s="152"/>
      <c r="AI414" s="152"/>
      <c r="AJ414" s="152"/>
      <c r="AK414" s="152"/>
      <c r="AL414" s="152"/>
      <c r="AM414" s="152"/>
    </row>
    <row r="415">
      <c r="A415" s="152"/>
      <c r="B415" s="152"/>
      <c r="C415" s="152"/>
      <c r="D415" s="152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  <c r="AA415" s="152"/>
      <c r="AB415" s="152"/>
      <c r="AC415" s="152"/>
      <c r="AD415" s="152"/>
      <c r="AE415" s="152"/>
      <c r="AF415" s="152"/>
      <c r="AG415" s="152"/>
      <c r="AH415" s="152"/>
      <c r="AI415" s="152"/>
      <c r="AJ415" s="152"/>
      <c r="AK415" s="152"/>
      <c r="AL415" s="152"/>
      <c r="AM415" s="152"/>
    </row>
    <row r="416">
      <c r="A416" s="152"/>
      <c r="B416" s="152"/>
      <c r="C416" s="152"/>
      <c r="D416" s="152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  <c r="AA416" s="152"/>
      <c r="AB416" s="152"/>
      <c r="AC416" s="152"/>
      <c r="AD416" s="152"/>
      <c r="AE416" s="152"/>
      <c r="AF416" s="152"/>
      <c r="AG416" s="152"/>
      <c r="AH416" s="152"/>
      <c r="AI416" s="152"/>
      <c r="AJ416" s="152"/>
      <c r="AK416" s="152"/>
      <c r="AL416" s="152"/>
      <c r="AM416" s="152"/>
    </row>
    <row r="417">
      <c r="A417" s="152"/>
      <c r="B417" s="152"/>
      <c r="C417" s="152"/>
      <c r="D417" s="152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  <c r="AA417" s="152"/>
      <c r="AB417" s="152"/>
      <c r="AC417" s="152"/>
      <c r="AD417" s="152"/>
      <c r="AE417" s="152"/>
      <c r="AF417" s="152"/>
      <c r="AG417" s="152"/>
      <c r="AH417" s="152"/>
      <c r="AI417" s="152"/>
      <c r="AJ417" s="152"/>
      <c r="AK417" s="152"/>
      <c r="AL417" s="152"/>
      <c r="AM417" s="152"/>
    </row>
    <row r="418">
      <c r="A418" s="152"/>
      <c r="B418" s="152"/>
      <c r="C418" s="152"/>
      <c r="D418" s="152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  <c r="AA418" s="152"/>
      <c r="AB418" s="152"/>
      <c r="AC418" s="152"/>
      <c r="AD418" s="152"/>
      <c r="AE418" s="152"/>
      <c r="AF418" s="152"/>
      <c r="AG418" s="152"/>
      <c r="AH418" s="152"/>
      <c r="AI418" s="152"/>
      <c r="AJ418" s="152"/>
      <c r="AK418" s="152"/>
      <c r="AL418" s="152"/>
      <c r="AM418" s="152"/>
    </row>
    <row r="419">
      <c r="A419" s="152"/>
      <c r="B419" s="152"/>
      <c r="C419" s="152"/>
      <c r="D419" s="152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  <c r="AA419" s="152"/>
      <c r="AB419" s="152"/>
      <c r="AC419" s="152"/>
      <c r="AD419" s="152"/>
      <c r="AE419" s="152"/>
      <c r="AF419" s="152"/>
      <c r="AG419" s="152"/>
      <c r="AH419" s="152"/>
      <c r="AI419" s="152"/>
      <c r="AJ419" s="152"/>
      <c r="AK419" s="152"/>
      <c r="AL419" s="152"/>
      <c r="AM419" s="152"/>
    </row>
    <row r="420">
      <c r="A420" s="152"/>
      <c r="B420" s="152"/>
      <c r="C420" s="152"/>
      <c r="D420" s="152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  <c r="AA420" s="152"/>
      <c r="AB420" s="152"/>
      <c r="AC420" s="152"/>
      <c r="AD420" s="152"/>
      <c r="AE420" s="152"/>
      <c r="AF420" s="152"/>
      <c r="AG420" s="152"/>
      <c r="AH420" s="152"/>
      <c r="AI420" s="152"/>
      <c r="AJ420" s="152"/>
      <c r="AK420" s="152"/>
      <c r="AL420" s="152"/>
      <c r="AM420" s="152"/>
    </row>
    <row r="421">
      <c r="A421" s="152"/>
      <c r="B421" s="152"/>
      <c r="C421" s="152"/>
      <c r="D421" s="152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  <c r="AA421" s="152"/>
      <c r="AB421" s="152"/>
      <c r="AC421" s="152"/>
      <c r="AD421" s="152"/>
      <c r="AE421" s="152"/>
      <c r="AF421" s="152"/>
      <c r="AG421" s="152"/>
      <c r="AH421" s="152"/>
      <c r="AI421" s="152"/>
      <c r="AJ421" s="152"/>
      <c r="AK421" s="152"/>
      <c r="AL421" s="152"/>
      <c r="AM421" s="152"/>
    </row>
    <row r="422">
      <c r="A422" s="152"/>
      <c r="B422" s="152"/>
      <c r="C422" s="152"/>
      <c r="D422" s="152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  <c r="AA422" s="152"/>
      <c r="AB422" s="152"/>
      <c r="AC422" s="152"/>
      <c r="AD422" s="152"/>
      <c r="AE422" s="152"/>
      <c r="AF422" s="152"/>
      <c r="AG422" s="152"/>
      <c r="AH422" s="152"/>
      <c r="AI422" s="152"/>
      <c r="AJ422" s="152"/>
      <c r="AK422" s="152"/>
      <c r="AL422" s="152"/>
      <c r="AM422" s="152"/>
    </row>
    <row r="423">
      <c r="A423" s="152"/>
      <c r="B423" s="152"/>
      <c r="C423" s="152"/>
      <c r="D423" s="152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  <c r="AA423" s="152"/>
      <c r="AB423" s="152"/>
      <c r="AC423" s="152"/>
      <c r="AD423" s="152"/>
      <c r="AE423" s="152"/>
      <c r="AF423" s="152"/>
      <c r="AG423" s="152"/>
      <c r="AH423" s="152"/>
      <c r="AI423" s="152"/>
      <c r="AJ423" s="152"/>
      <c r="AK423" s="152"/>
      <c r="AL423" s="152"/>
      <c r="AM423" s="152"/>
    </row>
    <row r="424">
      <c r="A424" s="152"/>
      <c r="B424" s="152"/>
      <c r="C424" s="152"/>
      <c r="D424" s="152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  <c r="AA424" s="152"/>
      <c r="AB424" s="152"/>
      <c r="AC424" s="152"/>
      <c r="AD424" s="152"/>
      <c r="AE424" s="152"/>
      <c r="AF424" s="152"/>
      <c r="AG424" s="152"/>
      <c r="AH424" s="152"/>
      <c r="AI424" s="152"/>
      <c r="AJ424" s="152"/>
      <c r="AK424" s="152"/>
      <c r="AL424" s="152"/>
      <c r="AM424" s="152"/>
    </row>
    <row r="425">
      <c r="A425" s="152"/>
      <c r="B425" s="152"/>
      <c r="C425" s="152"/>
      <c r="D425" s="152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  <c r="AA425" s="152"/>
      <c r="AB425" s="152"/>
      <c r="AC425" s="152"/>
      <c r="AD425" s="152"/>
      <c r="AE425" s="152"/>
      <c r="AF425" s="152"/>
      <c r="AG425" s="152"/>
      <c r="AH425" s="152"/>
      <c r="AI425" s="152"/>
      <c r="AJ425" s="152"/>
      <c r="AK425" s="152"/>
      <c r="AL425" s="152"/>
      <c r="AM425" s="152"/>
    </row>
    <row r="426">
      <c r="A426" s="152"/>
      <c r="B426" s="152"/>
      <c r="C426" s="152"/>
      <c r="D426" s="152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  <c r="AA426" s="152"/>
      <c r="AB426" s="152"/>
      <c r="AC426" s="152"/>
      <c r="AD426" s="152"/>
      <c r="AE426" s="152"/>
      <c r="AF426" s="152"/>
      <c r="AG426" s="152"/>
      <c r="AH426" s="152"/>
      <c r="AI426" s="152"/>
      <c r="AJ426" s="152"/>
      <c r="AK426" s="152"/>
      <c r="AL426" s="152"/>
      <c r="AM426" s="152"/>
    </row>
    <row r="427">
      <c r="A427" s="152"/>
      <c r="B427" s="152"/>
      <c r="C427" s="152"/>
      <c r="D427" s="152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  <c r="AA427" s="152"/>
      <c r="AB427" s="152"/>
      <c r="AC427" s="152"/>
      <c r="AD427" s="152"/>
      <c r="AE427" s="152"/>
      <c r="AF427" s="152"/>
      <c r="AG427" s="152"/>
      <c r="AH427" s="152"/>
      <c r="AI427" s="152"/>
      <c r="AJ427" s="152"/>
      <c r="AK427" s="152"/>
      <c r="AL427" s="152"/>
      <c r="AM427" s="152"/>
    </row>
    <row r="428">
      <c r="A428" s="152"/>
      <c r="B428" s="152"/>
      <c r="C428" s="152"/>
      <c r="D428" s="152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  <c r="AA428" s="152"/>
      <c r="AB428" s="152"/>
      <c r="AC428" s="152"/>
      <c r="AD428" s="152"/>
      <c r="AE428" s="152"/>
      <c r="AF428" s="152"/>
      <c r="AG428" s="152"/>
      <c r="AH428" s="152"/>
      <c r="AI428" s="152"/>
      <c r="AJ428" s="152"/>
      <c r="AK428" s="152"/>
      <c r="AL428" s="152"/>
      <c r="AM428" s="152"/>
    </row>
    <row r="429">
      <c r="A429" s="152"/>
      <c r="B429" s="152"/>
      <c r="C429" s="152"/>
      <c r="D429" s="152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  <c r="AA429" s="152"/>
      <c r="AB429" s="152"/>
      <c r="AC429" s="152"/>
      <c r="AD429" s="152"/>
      <c r="AE429" s="152"/>
      <c r="AF429" s="152"/>
      <c r="AG429" s="152"/>
      <c r="AH429" s="152"/>
      <c r="AI429" s="152"/>
      <c r="AJ429" s="152"/>
      <c r="AK429" s="152"/>
      <c r="AL429" s="152"/>
      <c r="AM429" s="152"/>
    </row>
    <row r="430">
      <c r="A430" s="152"/>
      <c r="B430" s="152"/>
      <c r="C430" s="152"/>
      <c r="D430" s="152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  <c r="AA430" s="152"/>
      <c r="AB430" s="152"/>
      <c r="AC430" s="152"/>
      <c r="AD430" s="152"/>
      <c r="AE430" s="152"/>
      <c r="AF430" s="152"/>
      <c r="AG430" s="152"/>
      <c r="AH430" s="152"/>
      <c r="AI430" s="152"/>
      <c r="AJ430" s="152"/>
      <c r="AK430" s="152"/>
      <c r="AL430" s="152"/>
      <c r="AM430" s="152"/>
    </row>
    <row r="431">
      <c r="A431" s="152"/>
      <c r="B431" s="152"/>
      <c r="C431" s="152"/>
      <c r="D431" s="152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  <c r="AA431" s="152"/>
      <c r="AB431" s="152"/>
      <c r="AC431" s="152"/>
      <c r="AD431" s="152"/>
      <c r="AE431" s="152"/>
      <c r="AF431" s="152"/>
      <c r="AG431" s="152"/>
      <c r="AH431" s="152"/>
      <c r="AI431" s="152"/>
      <c r="AJ431" s="152"/>
      <c r="AK431" s="152"/>
      <c r="AL431" s="152"/>
      <c r="AM431" s="152"/>
    </row>
    <row r="432">
      <c r="A432" s="152"/>
      <c r="B432" s="152"/>
      <c r="C432" s="152"/>
      <c r="D432" s="152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  <c r="AA432" s="152"/>
      <c r="AB432" s="152"/>
      <c r="AC432" s="152"/>
      <c r="AD432" s="152"/>
      <c r="AE432" s="152"/>
      <c r="AF432" s="152"/>
      <c r="AG432" s="152"/>
      <c r="AH432" s="152"/>
      <c r="AI432" s="152"/>
      <c r="AJ432" s="152"/>
      <c r="AK432" s="152"/>
      <c r="AL432" s="152"/>
      <c r="AM432" s="152"/>
    </row>
    <row r="433">
      <c r="A433" s="152"/>
      <c r="B433" s="152"/>
      <c r="C433" s="152"/>
      <c r="D433" s="152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  <c r="AA433" s="152"/>
      <c r="AB433" s="152"/>
      <c r="AC433" s="152"/>
      <c r="AD433" s="152"/>
      <c r="AE433" s="152"/>
      <c r="AF433" s="152"/>
      <c r="AG433" s="152"/>
      <c r="AH433" s="152"/>
      <c r="AI433" s="152"/>
      <c r="AJ433" s="152"/>
      <c r="AK433" s="152"/>
      <c r="AL433" s="152"/>
      <c r="AM433" s="152"/>
    </row>
    <row r="434">
      <c r="A434" s="152"/>
      <c r="B434" s="152"/>
      <c r="C434" s="152"/>
      <c r="D434" s="152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  <c r="AA434" s="152"/>
      <c r="AB434" s="152"/>
      <c r="AC434" s="152"/>
      <c r="AD434" s="152"/>
      <c r="AE434" s="152"/>
      <c r="AF434" s="152"/>
      <c r="AG434" s="152"/>
      <c r="AH434" s="152"/>
      <c r="AI434" s="152"/>
      <c r="AJ434" s="152"/>
      <c r="AK434" s="152"/>
      <c r="AL434" s="152"/>
      <c r="AM434" s="152"/>
    </row>
    <row r="435">
      <c r="A435" s="152"/>
      <c r="B435" s="152"/>
      <c r="C435" s="152"/>
      <c r="D435" s="152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  <c r="AA435" s="152"/>
      <c r="AB435" s="152"/>
      <c r="AC435" s="152"/>
      <c r="AD435" s="152"/>
      <c r="AE435" s="152"/>
      <c r="AF435" s="152"/>
      <c r="AG435" s="152"/>
      <c r="AH435" s="152"/>
      <c r="AI435" s="152"/>
      <c r="AJ435" s="152"/>
      <c r="AK435" s="152"/>
      <c r="AL435" s="152"/>
      <c r="AM435" s="152"/>
    </row>
    <row r="436">
      <c r="A436" s="152"/>
      <c r="B436" s="152"/>
      <c r="C436" s="152"/>
      <c r="D436" s="152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  <c r="AA436" s="152"/>
      <c r="AB436" s="152"/>
      <c r="AC436" s="152"/>
      <c r="AD436" s="152"/>
      <c r="AE436" s="152"/>
      <c r="AF436" s="152"/>
      <c r="AG436" s="152"/>
      <c r="AH436" s="152"/>
      <c r="AI436" s="152"/>
      <c r="AJ436" s="152"/>
      <c r="AK436" s="152"/>
      <c r="AL436" s="152"/>
      <c r="AM436" s="152"/>
    </row>
    <row r="437">
      <c r="A437" s="152"/>
      <c r="B437" s="152"/>
      <c r="C437" s="152"/>
      <c r="D437" s="152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  <c r="AA437" s="152"/>
      <c r="AB437" s="152"/>
      <c r="AC437" s="152"/>
      <c r="AD437" s="152"/>
      <c r="AE437" s="152"/>
      <c r="AF437" s="152"/>
      <c r="AG437" s="152"/>
      <c r="AH437" s="152"/>
      <c r="AI437" s="152"/>
      <c r="AJ437" s="152"/>
      <c r="AK437" s="152"/>
      <c r="AL437" s="152"/>
      <c r="AM437" s="152"/>
    </row>
    <row r="438">
      <c r="A438" s="152"/>
      <c r="B438" s="152"/>
      <c r="C438" s="152"/>
      <c r="D438" s="152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  <c r="AA438" s="152"/>
      <c r="AB438" s="152"/>
      <c r="AC438" s="152"/>
      <c r="AD438" s="152"/>
      <c r="AE438" s="152"/>
      <c r="AF438" s="152"/>
      <c r="AG438" s="152"/>
      <c r="AH438" s="152"/>
      <c r="AI438" s="152"/>
      <c r="AJ438" s="152"/>
      <c r="AK438" s="152"/>
      <c r="AL438" s="152"/>
      <c r="AM438" s="152"/>
    </row>
    <row r="439">
      <c r="A439" s="152"/>
      <c r="B439" s="152"/>
      <c r="C439" s="152"/>
      <c r="D439" s="152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  <c r="AA439" s="152"/>
      <c r="AB439" s="152"/>
      <c r="AC439" s="152"/>
      <c r="AD439" s="152"/>
      <c r="AE439" s="152"/>
      <c r="AF439" s="152"/>
      <c r="AG439" s="152"/>
      <c r="AH439" s="152"/>
      <c r="AI439" s="152"/>
      <c r="AJ439" s="152"/>
      <c r="AK439" s="152"/>
      <c r="AL439" s="152"/>
      <c r="AM439" s="152"/>
    </row>
    <row r="440">
      <c r="A440" s="152"/>
      <c r="B440" s="152"/>
      <c r="C440" s="152"/>
      <c r="D440" s="152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  <c r="AA440" s="152"/>
      <c r="AB440" s="152"/>
      <c r="AC440" s="152"/>
      <c r="AD440" s="152"/>
      <c r="AE440" s="152"/>
      <c r="AF440" s="152"/>
      <c r="AG440" s="152"/>
      <c r="AH440" s="152"/>
      <c r="AI440" s="152"/>
      <c r="AJ440" s="152"/>
      <c r="AK440" s="152"/>
      <c r="AL440" s="152"/>
      <c r="AM440" s="152"/>
    </row>
    <row r="441">
      <c r="A441" s="152"/>
      <c r="B441" s="152"/>
      <c r="C441" s="152"/>
      <c r="D441" s="152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  <c r="AA441" s="152"/>
      <c r="AB441" s="152"/>
      <c r="AC441" s="152"/>
      <c r="AD441" s="152"/>
      <c r="AE441" s="152"/>
      <c r="AF441" s="152"/>
      <c r="AG441" s="152"/>
      <c r="AH441" s="152"/>
      <c r="AI441" s="152"/>
      <c r="AJ441" s="152"/>
      <c r="AK441" s="152"/>
      <c r="AL441" s="152"/>
      <c r="AM441" s="152"/>
    </row>
    <row r="442">
      <c r="A442" s="152"/>
      <c r="B442" s="152"/>
      <c r="C442" s="152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  <c r="AA442" s="152"/>
      <c r="AB442" s="152"/>
      <c r="AC442" s="152"/>
      <c r="AD442" s="152"/>
      <c r="AE442" s="152"/>
      <c r="AF442" s="152"/>
      <c r="AG442" s="152"/>
      <c r="AH442" s="152"/>
      <c r="AI442" s="152"/>
      <c r="AJ442" s="152"/>
      <c r="AK442" s="152"/>
      <c r="AL442" s="152"/>
      <c r="AM442" s="152"/>
    </row>
    <row r="443">
      <c r="A443" s="152"/>
      <c r="B443" s="152"/>
      <c r="C443" s="152"/>
      <c r="D443" s="152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  <c r="AA443" s="152"/>
      <c r="AB443" s="152"/>
      <c r="AC443" s="152"/>
      <c r="AD443" s="152"/>
      <c r="AE443" s="152"/>
      <c r="AF443" s="152"/>
      <c r="AG443" s="152"/>
      <c r="AH443" s="152"/>
      <c r="AI443" s="152"/>
      <c r="AJ443" s="152"/>
      <c r="AK443" s="152"/>
      <c r="AL443" s="152"/>
      <c r="AM443" s="152"/>
    </row>
    <row r="444">
      <c r="A444" s="152"/>
      <c r="B444" s="152"/>
      <c r="C444" s="152"/>
      <c r="D444" s="152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  <c r="AA444" s="152"/>
      <c r="AB444" s="152"/>
      <c r="AC444" s="152"/>
      <c r="AD444" s="152"/>
      <c r="AE444" s="152"/>
      <c r="AF444" s="152"/>
      <c r="AG444" s="152"/>
      <c r="AH444" s="152"/>
      <c r="AI444" s="152"/>
      <c r="AJ444" s="152"/>
      <c r="AK444" s="152"/>
      <c r="AL444" s="152"/>
      <c r="AM444" s="152"/>
    </row>
    <row r="445">
      <c r="A445" s="152"/>
      <c r="B445" s="152"/>
      <c r="C445" s="152"/>
      <c r="D445" s="152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  <c r="AA445" s="152"/>
      <c r="AB445" s="152"/>
      <c r="AC445" s="152"/>
      <c r="AD445" s="152"/>
      <c r="AE445" s="152"/>
      <c r="AF445" s="152"/>
      <c r="AG445" s="152"/>
      <c r="AH445" s="152"/>
      <c r="AI445" s="152"/>
      <c r="AJ445" s="152"/>
      <c r="AK445" s="152"/>
      <c r="AL445" s="152"/>
      <c r="AM445" s="152"/>
    </row>
    <row r="446">
      <c r="A446" s="152"/>
      <c r="B446" s="152"/>
      <c r="C446" s="152"/>
      <c r="D446" s="152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  <c r="AA446" s="152"/>
      <c r="AB446" s="152"/>
      <c r="AC446" s="152"/>
      <c r="AD446" s="152"/>
      <c r="AE446" s="152"/>
      <c r="AF446" s="152"/>
      <c r="AG446" s="152"/>
      <c r="AH446" s="152"/>
      <c r="AI446" s="152"/>
      <c r="AJ446" s="152"/>
      <c r="AK446" s="152"/>
      <c r="AL446" s="152"/>
      <c r="AM446" s="152"/>
    </row>
    <row r="447">
      <c r="A447" s="152"/>
      <c r="B447" s="152"/>
      <c r="C447" s="152"/>
      <c r="D447" s="152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  <c r="AA447" s="152"/>
      <c r="AB447" s="152"/>
      <c r="AC447" s="152"/>
      <c r="AD447" s="152"/>
      <c r="AE447" s="152"/>
      <c r="AF447" s="152"/>
      <c r="AG447" s="152"/>
      <c r="AH447" s="152"/>
      <c r="AI447" s="152"/>
      <c r="AJ447" s="152"/>
      <c r="AK447" s="152"/>
      <c r="AL447" s="152"/>
      <c r="AM447" s="152"/>
    </row>
    <row r="448">
      <c r="A448" s="152"/>
      <c r="B448" s="152"/>
      <c r="C448" s="152"/>
      <c r="D448" s="152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  <c r="AA448" s="152"/>
      <c r="AB448" s="152"/>
      <c r="AC448" s="152"/>
      <c r="AD448" s="152"/>
      <c r="AE448" s="152"/>
      <c r="AF448" s="152"/>
      <c r="AG448" s="152"/>
      <c r="AH448" s="152"/>
      <c r="AI448" s="152"/>
      <c r="AJ448" s="152"/>
      <c r="AK448" s="152"/>
      <c r="AL448" s="152"/>
      <c r="AM448" s="152"/>
    </row>
    <row r="449">
      <c r="A449" s="152"/>
      <c r="B449" s="152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  <c r="AA449" s="152"/>
      <c r="AB449" s="152"/>
      <c r="AC449" s="152"/>
      <c r="AD449" s="152"/>
      <c r="AE449" s="152"/>
      <c r="AF449" s="152"/>
      <c r="AG449" s="152"/>
      <c r="AH449" s="152"/>
      <c r="AI449" s="152"/>
      <c r="AJ449" s="152"/>
      <c r="AK449" s="152"/>
      <c r="AL449" s="152"/>
      <c r="AM449" s="152"/>
    </row>
    <row r="450">
      <c r="A450" s="152"/>
      <c r="B450" s="152"/>
      <c r="C450" s="152"/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  <c r="AA450" s="152"/>
      <c r="AB450" s="152"/>
      <c r="AC450" s="152"/>
      <c r="AD450" s="152"/>
      <c r="AE450" s="152"/>
      <c r="AF450" s="152"/>
      <c r="AG450" s="152"/>
      <c r="AH450" s="152"/>
      <c r="AI450" s="152"/>
      <c r="AJ450" s="152"/>
      <c r="AK450" s="152"/>
      <c r="AL450" s="152"/>
      <c r="AM450" s="152"/>
    </row>
    <row r="451">
      <c r="A451" s="152"/>
      <c r="B451" s="152"/>
      <c r="C451" s="152"/>
      <c r="D451" s="152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  <c r="AA451" s="152"/>
      <c r="AB451" s="152"/>
      <c r="AC451" s="152"/>
      <c r="AD451" s="152"/>
      <c r="AE451" s="152"/>
      <c r="AF451" s="152"/>
      <c r="AG451" s="152"/>
      <c r="AH451" s="152"/>
      <c r="AI451" s="152"/>
      <c r="AJ451" s="152"/>
      <c r="AK451" s="152"/>
      <c r="AL451" s="152"/>
      <c r="AM451" s="152"/>
    </row>
    <row r="452">
      <c r="A452" s="152"/>
      <c r="B452" s="152"/>
      <c r="C452" s="152"/>
      <c r="D452" s="152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  <c r="AA452" s="152"/>
      <c r="AB452" s="152"/>
      <c r="AC452" s="152"/>
      <c r="AD452" s="152"/>
      <c r="AE452" s="152"/>
      <c r="AF452" s="152"/>
      <c r="AG452" s="152"/>
      <c r="AH452" s="152"/>
      <c r="AI452" s="152"/>
      <c r="AJ452" s="152"/>
      <c r="AK452" s="152"/>
      <c r="AL452" s="152"/>
      <c r="AM452" s="152"/>
    </row>
    <row r="453">
      <c r="A453" s="152"/>
      <c r="B453" s="152"/>
      <c r="C453" s="152"/>
      <c r="D453" s="152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  <c r="AA453" s="152"/>
      <c r="AB453" s="152"/>
      <c r="AC453" s="152"/>
      <c r="AD453" s="152"/>
      <c r="AE453" s="152"/>
      <c r="AF453" s="152"/>
      <c r="AG453" s="152"/>
      <c r="AH453" s="152"/>
      <c r="AI453" s="152"/>
      <c r="AJ453" s="152"/>
      <c r="AK453" s="152"/>
      <c r="AL453" s="152"/>
      <c r="AM453" s="152"/>
    </row>
    <row r="454">
      <c r="A454" s="152"/>
      <c r="B454" s="152"/>
      <c r="C454" s="152"/>
      <c r="D454" s="152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  <c r="AA454" s="152"/>
      <c r="AB454" s="152"/>
      <c r="AC454" s="152"/>
      <c r="AD454" s="152"/>
      <c r="AE454" s="152"/>
      <c r="AF454" s="152"/>
      <c r="AG454" s="152"/>
      <c r="AH454" s="152"/>
      <c r="AI454" s="152"/>
      <c r="AJ454" s="152"/>
      <c r="AK454" s="152"/>
      <c r="AL454" s="152"/>
      <c r="AM454" s="152"/>
    </row>
    <row r="455">
      <c r="A455" s="152"/>
      <c r="B455" s="152"/>
      <c r="C455" s="152"/>
      <c r="D455" s="152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  <c r="AA455" s="152"/>
      <c r="AB455" s="152"/>
      <c r="AC455" s="152"/>
      <c r="AD455" s="152"/>
      <c r="AE455" s="152"/>
      <c r="AF455" s="152"/>
      <c r="AG455" s="152"/>
      <c r="AH455" s="152"/>
      <c r="AI455" s="152"/>
      <c r="AJ455" s="152"/>
      <c r="AK455" s="152"/>
      <c r="AL455" s="152"/>
      <c r="AM455" s="152"/>
    </row>
    <row r="456">
      <c r="A456" s="152"/>
      <c r="B456" s="152"/>
      <c r="C456" s="152"/>
      <c r="D456" s="152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  <c r="AA456" s="152"/>
      <c r="AB456" s="152"/>
      <c r="AC456" s="152"/>
      <c r="AD456" s="152"/>
      <c r="AE456" s="152"/>
      <c r="AF456" s="152"/>
      <c r="AG456" s="152"/>
      <c r="AH456" s="152"/>
      <c r="AI456" s="152"/>
      <c r="AJ456" s="152"/>
      <c r="AK456" s="152"/>
      <c r="AL456" s="152"/>
      <c r="AM456" s="152"/>
    </row>
    <row r="457">
      <c r="A457" s="152"/>
      <c r="B457" s="152"/>
      <c r="C457" s="152"/>
      <c r="D457" s="152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  <c r="AA457" s="152"/>
      <c r="AB457" s="152"/>
      <c r="AC457" s="152"/>
      <c r="AD457" s="152"/>
      <c r="AE457" s="152"/>
      <c r="AF457" s="152"/>
      <c r="AG457" s="152"/>
      <c r="AH457" s="152"/>
      <c r="AI457" s="152"/>
      <c r="AJ457" s="152"/>
      <c r="AK457" s="152"/>
      <c r="AL457" s="152"/>
      <c r="AM457" s="152"/>
    </row>
    <row r="458">
      <c r="A458" s="152"/>
      <c r="B458" s="152"/>
      <c r="C458" s="152"/>
      <c r="D458" s="152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  <c r="AA458" s="152"/>
      <c r="AB458" s="152"/>
      <c r="AC458" s="152"/>
      <c r="AD458" s="152"/>
      <c r="AE458" s="152"/>
      <c r="AF458" s="152"/>
      <c r="AG458" s="152"/>
      <c r="AH458" s="152"/>
      <c r="AI458" s="152"/>
      <c r="AJ458" s="152"/>
      <c r="AK458" s="152"/>
      <c r="AL458" s="152"/>
      <c r="AM458" s="152"/>
    </row>
    <row r="459">
      <c r="A459" s="152"/>
      <c r="B459" s="152"/>
      <c r="C459" s="152"/>
      <c r="D459" s="152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  <c r="AA459" s="152"/>
      <c r="AB459" s="152"/>
      <c r="AC459" s="152"/>
      <c r="AD459" s="152"/>
      <c r="AE459" s="152"/>
      <c r="AF459" s="152"/>
      <c r="AG459" s="152"/>
      <c r="AH459" s="152"/>
      <c r="AI459" s="152"/>
      <c r="AJ459" s="152"/>
      <c r="AK459" s="152"/>
      <c r="AL459" s="152"/>
      <c r="AM459" s="152"/>
    </row>
    <row r="460">
      <c r="A460" s="152"/>
      <c r="B460" s="152"/>
      <c r="C460" s="152"/>
      <c r="D460" s="152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  <c r="AA460" s="152"/>
      <c r="AB460" s="152"/>
      <c r="AC460" s="152"/>
      <c r="AD460" s="152"/>
      <c r="AE460" s="152"/>
      <c r="AF460" s="152"/>
      <c r="AG460" s="152"/>
      <c r="AH460" s="152"/>
      <c r="AI460" s="152"/>
      <c r="AJ460" s="152"/>
      <c r="AK460" s="152"/>
      <c r="AL460" s="152"/>
      <c r="AM460" s="152"/>
    </row>
    <row r="461">
      <c r="A461" s="152"/>
      <c r="B461" s="152"/>
      <c r="C461" s="152"/>
      <c r="D461" s="152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  <c r="AA461" s="152"/>
      <c r="AB461" s="152"/>
      <c r="AC461" s="152"/>
      <c r="AD461" s="152"/>
      <c r="AE461" s="152"/>
      <c r="AF461" s="152"/>
      <c r="AG461" s="152"/>
      <c r="AH461" s="152"/>
      <c r="AI461" s="152"/>
      <c r="AJ461" s="152"/>
      <c r="AK461" s="152"/>
      <c r="AL461" s="152"/>
      <c r="AM461" s="152"/>
    </row>
    <row r="462">
      <c r="A462" s="152"/>
      <c r="B462" s="152"/>
      <c r="C462" s="152"/>
      <c r="D462" s="152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  <c r="AA462" s="152"/>
      <c r="AB462" s="152"/>
      <c r="AC462" s="152"/>
      <c r="AD462" s="152"/>
      <c r="AE462" s="152"/>
      <c r="AF462" s="152"/>
      <c r="AG462" s="152"/>
      <c r="AH462" s="152"/>
      <c r="AI462" s="152"/>
      <c r="AJ462" s="152"/>
      <c r="AK462" s="152"/>
      <c r="AL462" s="152"/>
      <c r="AM462" s="152"/>
    </row>
    <row r="463">
      <c r="A463" s="152"/>
      <c r="B463" s="152"/>
      <c r="C463" s="152"/>
      <c r="D463" s="152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  <c r="AA463" s="152"/>
      <c r="AB463" s="152"/>
      <c r="AC463" s="152"/>
      <c r="AD463" s="152"/>
      <c r="AE463" s="152"/>
      <c r="AF463" s="152"/>
      <c r="AG463" s="152"/>
      <c r="AH463" s="152"/>
      <c r="AI463" s="152"/>
      <c r="AJ463" s="152"/>
      <c r="AK463" s="152"/>
      <c r="AL463" s="152"/>
      <c r="AM463" s="152"/>
    </row>
    <row r="464">
      <c r="A464" s="152"/>
      <c r="B464" s="152"/>
      <c r="C464" s="152"/>
      <c r="D464" s="152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  <c r="AA464" s="152"/>
      <c r="AB464" s="152"/>
      <c r="AC464" s="152"/>
      <c r="AD464" s="152"/>
      <c r="AE464" s="152"/>
      <c r="AF464" s="152"/>
      <c r="AG464" s="152"/>
      <c r="AH464" s="152"/>
      <c r="AI464" s="152"/>
      <c r="AJ464" s="152"/>
      <c r="AK464" s="152"/>
      <c r="AL464" s="152"/>
      <c r="AM464" s="152"/>
    </row>
    <row r="465">
      <c r="A465" s="152"/>
      <c r="B465" s="152"/>
      <c r="C465" s="152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  <c r="AA465" s="152"/>
      <c r="AB465" s="152"/>
      <c r="AC465" s="152"/>
      <c r="AD465" s="152"/>
      <c r="AE465" s="152"/>
      <c r="AF465" s="152"/>
      <c r="AG465" s="152"/>
      <c r="AH465" s="152"/>
      <c r="AI465" s="152"/>
      <c r="AJ465" s="152"/>
      <c r="AK465" s="152"/>
      <c r="AL465" s="152"/>
      <c r="AM465" s="152"/>
    </row>
    <row r="466">
      <c r="A466" s="152"/>
      <c r="B466" s="152"/>
      <c r="C466" s="152"/>
      <c r="D466" s="152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  <c r="AA466" s="152"/>
      <c r="AB466" s="152"/>
      <c r="AC466" s="152"/>
      <c r="AD466" s="152"/>
      <c r="AE466" s="152"/>
      <c r="AF466" s="152"/>
      <c r="AG466" s="152"/>
      <c r="AH466" s="152"/>
      <c r="AI466" s="152"/>
      <c r="AJ466" s="152"/>
      <c r="AK466" s="152"/>
      <c r="AL466" s="152"/>
      <c r="AM466" s="152"/>
    </row>
    <row r="467">
      <c r="A467" s="152"/>
      <c r="B467" s="152"/>
      <c r="C467" s="152"/>
      <c r="D467" s="152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  <c r="AA467" s="152"/>
      <c r="AB467" s="152"/>
      <c r="AC467" s="152"/>
      <c r="AD467" s="152"/>
      <c r="AE467" s="152"/>
      <c r="AF467" s="152"/>
      <c r="AG467" s="152"/>
      <c r="AH467" s="152"/>
      <c r="AI467" s="152"/>
      <c r="AJ467" s="152"/>
      <c r="AK467" s="152"/>
      <c r="AL467" s="152"/>
      <c r="AM467" s="152"/>
    </row>
    <row r="468">
      <c r="A468" s="152"/>
      <c r="B468" s="152"/>
      <c r="C468" s="152"/>
      <c r="D468" s="152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  <c r="AA468" s="152"/>
      <c r="AB468" s="152"/>
      <c r="AC468" s="152"/>
      <c r="AD468" s="152"/>
      <c r="AE468" s="152"/>
      <c r="AF468" s="152"/>
      <c r="AG468" s="152"/>
      <c r="AH468" s="152"/>
      <c r="AI468" s="152"/>
      <c r="AJ468" s="152"/>
      <c r="AK468" s="152"/>
      <c r="AL468" s="152"/>
      <c r="AM468" s="152"/>
    </row>
    <row r="469">
      <c r="A469" s="152"/>
      <c r="B469" s="152"/>
      <c r="C469" s="152"/>
      <c r="D469" s="152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  <c r="AA469" s="152"/>
      <c r="AB469" s="152"/>
      <c r="AC469" s="152"/>
      <c r="AD469" s="152"/>
      <c r="AE469" s="152"/>
      <c r="AF469" s="152"/>
      <c r="AG469" s="152"/>
      <c r="AH469" s="152"/>
      <c r="AI469" s="152"/>
      <c r="AJ469" s="152"/>
      <c r="AK469" s="152"/>
      <c r="AL469" s="152"/>
      <c r="AM469" s="152"/>
    </row>
    <row r="470">
      <c r="A470" s="152"/>
      <c r="B470" s="152"/>
      <c r="C470" s="152"/>
      <c r="D470" s="152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  <c r="AA470" s="152"/>
      <c r="AB470" s="152"/>
      <c r="AC470" s="152"/>
      <c r="AD470" s="152"/>
      <c r="AE470" s="152"/>
      <c r="AF470" s="152"/>
      <c r="AG470" s="152"/>
      <c r="AH470" s="152"/>
      <c r="AI470" s="152"/>
      <c r="AJ470" s="152"/>
      <c r="AK470" s="152"/>
      <c r="AL470" s="152"/>
      <c r="AM470" s="152"/>
    </row>
    <row r="471">
      <c r="A471" s="152"/>
      <c r="B471" s="152"/>
      <c r="C471" s="152"/>
      <c r="D471" s="152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  <c r="AA471" s="152"/>
      <c r="AB471" s="152"/>
      <c r="AC471" s="152"/>
      <c r="AD471" s="152"/>
      <c r="AE471" s="152"/>
      <c r="AF471" s="152"/>
      <c r="AG471" s="152"/>
      <c r="AH471" s="152"/>
      <c r="AI471" s="152"/>
      <c r="AJ471" s="152"/>
      <c r="AK471" s="152"/>
      <c r="AL471" s="152"/>
      <c r="AM471" s="152"/>
    </row>
    <row r="472">
      <c r="A472" s="152"/>
      <c r="B472" s="152"/>
      <c r="C472" s="152"/>
      <c r="D472" s="152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  <c r="AA472" s="152"/>
      <c r="AB472" s="152"/>
      <c r="AC472" s="152"/>
      <c r="AD472" s="152"/>
      <c r="AE472" s="152"/>
      <c r="AF472" s="152"/>
      <c r="AG472" s="152"/>
      <c r="AH472" s="152"/>
      <c r="AI472" s="152"/>
      <c r="AJ472" s="152"/>
      <c r="AK472" s="152"/>
      <c r="AL472" s="152"/>
      <c r="AM472" s="152"/>
    </row>
    <row r="473">
      <c r="A473" s="152"/>
      <c r="B473" s="152"/>
      <c r="C473" s="152"/>
      <c r="D473" s="152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  <c r="AA473" s="152"/>
      <c r="AB473" s="152"/>
      <c r="AC473" s="152"/>
      <c r="AD473" s="152"/>
      <c r="AE473" s="152"/>
      <c r="AF473" s="152"/>
      <c r="AG473" s="152"/>
      <c r="AH473" s="152"/>
      <c r="AI473" s="152"/>
      <c r="AJ473" s="152"/>
      <c r="AK473" s="152"/>
      <c r="AL473" s="152"/>
      <c r="AM473" s="152"/>
    </row>
    <row r="474">
      <c r="A474" s="152"/>
      <c r="B474" s="152"/>
      <c r="C474" s="152"/>
      <c r="D474" s="152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  <c r="AA474" s="152"/>
      <c r="AB474" s="152"/>
      <c r="AC474" s="152"/>
      <c r="AD474" s="152"/>
      <c r="AE474" s="152"/>
      <c r="AF474" s="152"/>
      <c r="AG474" s="152"/>
      <c r="AH474" s="152"/>
      <c r="AI474" s="152"/>
      <c r="AJ474" s="152"/>
      <c r="AK474" s="152"/>
      <c r="AL474" s="152"/>
      <c r="AM474" s="152"/>
    </row>
    <row r="475">
      <c r="A475" s="152"/>
      <c r="B475" s="152"/>
      <c r="C475" s="152"/>
      <c r="D475" s="152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  <c r="AA475" s="152"/>
      <c r="AB475" s="152"/>
      <c r="AC475" s="152"/>
      <c r="AD475" s="152"/>
      <c r="AE475" s="152"/>
      <c r="AF475" s="152"/>
      <c r="AG475" s="152"/>
      <c r="AH475" s="152"/>
      <c r="AI475" s="152"/>
      <c r="AJ475" s="152"/>
      <c r="AK475" s="152"/>
      <c r="AL475" s="152"/>
      <c r="AM475" s="152"/>
    </row>
    <row r="476">
      <c r="A476" s="152"/>
      <c r="B476" s="152"/>
      <c r="C476" s="152"/>
      <c r="D476" s="152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  <c r="AA476" s="152"/>
      <c r="AB476" s="152"/>
      <c r="AC476" s="152"/>
      <c r="AD476" s="152"/>
      <c r="AE476" s="152"/>
      <c r="AF476" s="152"/>
      <c r="AG476" s="152"/>
      <c r="AH476" s="152"/>
      <c r="AI476" s="152"/>
      <c r="AJ476" s="152"/>
      <c r="AK476" s="152"/>
      <c r="AL476" s="152"/>
      <c r="AM476" s="152"/>
    </row>
    <row r="477">
      <c r="A477" s="152"/>
      <c r="B477" s="152"/>
      <c r="C477" s="152"/>
      <c r="D477" s="152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  <c r="AA477" s="152"/>
      <c r="AB477" s="152"/>
      <c r="AC477" s="152"/>
      <c r="AD477" s="152"/>
      <c r="AE477" s="152"/>
      <c r="AF477" s="152"/>
      <c r="AG477" s="152"/>
      <c r="AH477" s="152"/>
      <c r="AI477" s="152"/>
      <c r="AJ477" s="152"/>
      <c r="AK477" s="152"/>
      <c r="AL477" s="152"/>
      <c r="AM477" s="152"/>
    </row>
    <row r="478">
      <c r="A478" s="152"/>
      <c r="B478" s="152"/>
      <c r="C478" s="152"/>
      <c r="D478" s="152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  <c r="AA478" s="152"/>
      <c r="AB478" s="152"/>
      <c r="AC478" s="152"/>
      <c r="AD478" s="152"/>
      <c r="AE478" s="152"/>
      <c r="AF478" s="152"/>
      <c r="AG478" s="152"/>
      <c r="AH478" s="152"/>
      <c r="AI478" s="152"/>
      <c r="AJ478" s="152"/>
      <c r="AK478" s="152"/>
      <c r="AL478" s="152"/>
      <c r="AM478" s="152"/>
    </row>
    <row r="479">
      <c r="A479" s="152"/>
      <c r="B479" s="152"/>
      <c r="C479" s="152"/>
      <c r="D479" s="152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  <c r="AA479" s="152"/>
      <c r="AB479" s="152"/>
      <c r="AC479" s="152"/>
      <c r="AD479" s="152"/>
      <c r="AE479" s="152"/>
      <c r="AF479" s="152"/>
      <c r="AG479" s="152"/>
      <c r="AH479" s="152"/>
      <c r="AI479" s="152"/>
      <c r="AJ479" s="152"/>
      <c r="AK479" s="152"/>
      <c r="AL479" s="152"/>
      <c r="AM479" s="152"/>
    </row>
    <row r="480">
      <c r="A480" s="152"/>
      <c r="B480" s="152"/>
      <c r="C480" s="152"/>
      <c r="D480" s="152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  <c r="AA480" s="152"/>
      <c r="AB480" s="152"/>
      <c r="AC480" s="152"/>
      <c r="AD480" s="152"/>
      <c r="AE480" s="152"/>
      <c r="AF480" s="152"/>
      <c r="AG480" s="152"/>
      <c r="AH480" s="152"/>
      <c r="AI480" s="152"/>
      <c r="AJ480" s="152"/>
      <c r="AK480" s="152"/>
      <c r="AL480" s="152"/>
      <c r="AM480" s="152"/>
    </row>
    <row r="481">
      <c r="A481" s="152"/>
      <c r="B481" s="152"/>
      <c r="C481" s="152"/>
      <c r="D481" s="152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  <c r="AA481" s="152"/>
      <c r="AB481" s="152"/>
      <c r="AC481" s="152"/>
      <c r="AD481" s="152"/>
      <c r="AE481" s="152"/>
      <c r="AF481" s="152"/>
      <c r="AG481" s="152"/>
      <c r="AH481" s="152"/>
      <c r="AI481" s="152"/>
      <c r="AJ481" s="152"/>
      <c r="AK481" s="152"/>
      <c r="AL481" s="152"/>
      <c r="AM481" s="152"/>
    </row>
    <row r="482">
      <c r="A482" s="152"/>
      <c r="B482" s="152"/>
      <c r="C482" s="152"/>
      <c r="D482" s="152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  <c r="AA482" s="152"/>
      <c r="AB482" s="152"/>
      <c r="AC482" s="152"/>
      <c r="AD482" s="152"/>
      <c r="AE482" s="152"/>
      <c r="AF482" s="152"/>
      <c r="AG482" s="152"/>
      <c r="AH482" s="152"/>
      <c r="AI482" s="152"/>
      <c r="AJ482" s="152"/>
      <c r="AK482" s="152"/>
      <c r="AL482" s="152"/>
      <c r="AM482" s="152"/>
    </row>
    <row r="483">
      <c r="A483" s="152"/>
      <c r="B483" s="152"/>
      <c r="C483" s="152"/>
      <c r="D483" s="152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  <c r="AA483" s="152"/>
      <c r="AB483" s="152"/>
      <c r="AC483" s="152"/>
      <c r="AD483" s="152"/>
      <c r="AE483" s="152"/>
      <c r="AF483" s="152"/>
      <c r="AG483" s="152"/>
      <c r="AH483" s="152"/>
      <c r="AI483" s="152"/>
      <c r="AJ483" s="152"/>
      <c r="AK483" s="152"/>
      <c r="AL483" s="152"/>
      <c r="AM483" s="152"/>
    </row>
    <row r="484">
      <c r="A484" s="152"/>
      <c r="B484" s="152"/>
      <c r="C484" s="152"/>
      <c r="D484" s="152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  <c r="AA484" s="152"/>
      <c r="AB484" s="152"/>
      <c r="AC484" s="152"/>
      <c r="AD484" s="152"/>
      <c r="AE484" s="152"/>
      <c r="AF484" s="152"/>
      <c r="AG484" s="152"/>
      <c r="AH484" s="152"/>
      <c r="AI484" s="152"/>
      <c r="AJ484" s="152"/>
      <c r="AK484" s="152"/>
      <c r="AL484" s="152"/>
      <c r="AM484" s="152"/>
    </row>
    <row r="485">
      <c r="A485" s="152"/>
      <c r="B485" s="152"/>
      <c r="C485" s="152"/>
      <c r="D485" s="152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  <c r="AA485" s="152"/>
      <c r="AB485" s="152"/>
      <c r="AC485" s="152"/>
      <c r="AD485" s="152"/>
      <c r="AE485" s="152"/>
      <c r="AF485" s="152"/>
      <c r="AG485" s="152"/>
      <c r="AH485" s="152"/>
      <c r="AI485" s="152"/>
      <c r="AJ485" s="152"/>
      <c r="AK485" s="152"/>
      <c r="AL485" s="152"/>
      <c r="AM485" s="152"/>
    </row>
    <row r="486">
      <c r="A486" s="152"/>
      <c r="B486" s="152"/>
      <c r="C486" s="152"/>
      <c r="D486" s="152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  <c r="AA486" s="152"/>
      <c r="AB486" s="152"/>
      <c r="AC486" s="152"/>
      <c r="AD486" s="152"/>
      <c r="AE486" s="152"/>
      <c r="AF486" s="152"/>
      <c r="AG486" s="152"/>
      <c r="AH486" s="152"/>
      <c r="AI486" s="152"/>
      <c r="AJ486" s="152"/>
      <c r="AK486" s="152"/>
      <c r="AL486" s="152"/>
      <c r="AM486" s="152"/>
    </row>
    <row r="487">
      <c r="A487" s="152"/>
      <c r="B487" s="152"/>
      <c r="C487" s="152"/>
      <c r="D487" s="152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  <c r="AA487" s="152"/>
      <c r="AB487" s="152"/>
      <c r="AC487" s="152"/>
      <c r="AD487" s="152"/>
      <c r="AE487" s="152"/>
      <c r="AF487" s="152"/>
      <c r="AG487" s="152"/>
      <c r="AH487" s="152"/>
      <c r="AI487" s="152"/>
      <c r="AJ487" s="152"/>
      <c r="AK487" s="152"/>
      <c r="AL487" s="152"/>
      <c r="AM487" s="152"/>
    </row>
    <row r="488">
      <c r="A488" s="152"/>
      <c r="B488" s="152"/>
      <c r="C488" s="152"/>
      <c r="D488" s="152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  <c r="AA488" s="152"/>
      <c r="AB488" s="152"/>
      <c r="AC488" s="152"/>
      <c r="AD488" s="152"/>
      <c r="AE488" s="152"/>
      <c r="AF488" s="152"/>
      <c r="AG488" s="152"/>
      <c r="AH488" s="152"/>
      <c r="AI488" s="152"/>
      <c r="AJ488" s="152"/>
      <c r="AK488" s="152"/>
      <c r="AL488" s="152"/>
      <c r="AM488" s="152"/>
    </row>
    <row r="489">
      <c r="A489" s="152"/>
      <c r="B489" s="152"/>
      <c r="C489" s="152"/>
      <c r="D489" s="152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  <c r="AA489" s="152"/>
      <c r="AB489" s="152"/>
      <c r="AC489" s="152"/>
      <c r="AD489" s="152"/>
      <c r="AE489" s="152"/>
      <c r="AF489" s="152"/>
      <c r="AG489" s="152"/>
      <c r="AH489" s="152"/>
      <c r="AI489" s="152"/>
      <c r="AJ489" s="152"/>
      <c r="AK489" s="152"/>
      <c r="AL489" s="152"/>
      <c r="AM489" s="152"/>
    </row>
    <row r="490">
      <c r="A490" s="152"/>
      <c r="B490" s="152"/>
      <c r="C490" s="152"/>
      <c r="D490" s="152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  <c r="AA490" s="152"/>
      <c r="AB490" s="152"/>
      <c r="AC490" s="152"/>
      <c r="AD490" s="152"/>
      <c r="AE490" s="152"/>
      <c r="AF490" s="152"/>
      <c r="AG490" s="152"/>
      <c r="AH490" s="152"/>
      <c r="AI490" s="152"/>
      <c r="AJ490" s="152"/>
      <c r="AK490" s="152"/>
      <c r="AL490" s="152"/>
      <c r="AM490" s="152"/>
    </row>
    <row r="491">
      <c r="A491" s="152"/>
      <c r="B491" s="152"/>
      <c r="C491" s="152"/>
      <c r="D491" s="152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  <c r="AA491" s="152"/>
      <c r="AB491" s="152"/>
      <c r="AC491" s="152"/>
      <c r="AD491" s="152"/>
      <c r="AE491" s="152"/>
      <c r="AF491" s="152"/>
      <c r="AG491" s="152"/>
      <c r="AH491" s="152"/>
      <c r="AI491" s="152"/>
      <c r="AJ491" s="152"/>
      <c r="AK491" s="152"/>
      <c r="AL491" s="152"/>
      <c r="AM491" s="152"/>
    </row>
    <row r="492">
      <c r="A492" s="152"/>
      <c r="B492" s="152"/>
      <c r="C492" s="152"/>
      <c r="D492" s="152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  <c r="AA492" s="152"/>
      <c r="AB492" s="152"/>
      <c r="AC492" s="152"/>
      <c r="AD492" s="152"/>
      <c r="AE492" s="152"/>
      <c r="AF492" s="152"/>
      <c r="AG492" s="152"/>
      <c r="AH492" s="152"/>
      <c r="AI492" s="152"/>
      <c r="AJ492" s="152"/>
      <c r="AK492" s="152"/>
      <c r="AL492" s="152"/>
      <c r="AM492" s="152"/>
    </row>
    <row r="493">
      <c r="A493" s="152"/>
      <c r="B493" s="152"/>
      <c r="C493" s="152"/>
      <c r="D493" s="152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  <c r="AA493" s="152"/>
      <c r="AB493" s="152"/>
      <c r="AC493" s="152"/>
      <c r="AD493" s="152"/>
      <c r="AE493" s="152"/>
      <c r="AF493" s="152"/>
      <c r="AG493" s="152"/>
      <c r="AH493" s="152"/>
      <c r="AI493" s="152"/>
      <c r="AJ493" s="152"/>
      <c r="AK493" s="152"/>
      <c r="AL493" s="152"/>
      <c r="AM493" s="152"/>
    </row>
    <row r="494">
      <c r="A494" s="152"/>
      <c r="B494" s="152"/>
      <c r="C494" s="152"/>
      <c r="D494" s="152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  <c r="AA494" s="152"/>
      <c r="AB494" s="152"/>
      <c r="AC494" s="152"/>
      <c r="AD494" s="152"/>
      <c r="AE494" s="152"/>
      <c r="AF494" s="152"/>
      <c r="AG494" s="152"/>
      <c r="AH494" s="152"/>
      <c r="AI494" s="152"/>
      <c r="AJ494" s="152"/>
      <c r="AK494" s="152"/>
      <c r="AL494" s="152"/>
      <c r="AM494" s="152"/>
    </row>
    <row r="495">
      <c r="A495" s="152"/>
      <c r="B495" s="152"/>
      <c r="C495" s="152"/>
      <c r="D495" s="152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  <c r="AA495" s="152"/>
      <c r="AB495" s="152"/>
      <c r="AC495" s="152"/>
      <c r="AD495" s="152"/>
      <c r="AE495" s="152"/>
      <c r="AF495" s="152"/>
      <c r="AG495" s="152"/>
      <c r="AH495" s="152"/>
      <c r="AI495" s="152"/>
      <c r="AJ495" s="152"/>
      <c r="AK495" s="152"/>
      <c r="AL495" s="152"/>
      <c r="AM495" s="152"/>
    </row>
    <row r="496">
      <c r="A496" s="152"/>
      <c r="B496" s="152"/>
      <c r="C496" s="152"/>
      <c r="D496" s="152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  <c r="AA496" s="152"/>
      <c r="AB496" s="152"/>
      <c r="AC496" s="152"/>
      <c r="AD496" s="152"/>
      <c r="AE496" s="152"/>
      <c r="AF496" s="152"/>
      <c r="AG496" s="152"/>
      <c r="AH496" s="152"/>
      <c r="AI496" s="152"/>
      <c r="AJ496" s="152"/>
      <c r="AK496" s="152"/>
      <c r="AL496" s="152"/>
      <c r="AM496" s="152"/>
    </row>
    <row r="497">
      <c r="A497" s="152"/>
      <c r="B497" s="152"/>
      <c r="C497" s="152"/>
      <c r="D497" s="152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  <c r="AA497" s="152"/>
      <c r="AB497" s="152"/>
      <c r="AC497" s="152"/>
      <c r="AD497" s="152"/>
      <c r="AE497" s="152"/>
      <c r="AF497" s="152"/>
      <c r="AG497" s="152"/>
      <c r="AH497" s="152"/>
      <c r="AI497" s="152"/>
      <c r="AJ497" s="152"/>
      <c r="AK497" s="152"/>
      <c r="AL497" s="152"/>
      <c r="AM497" s="152"/>
    </row>
    <row r="498">
      <c r="A498" s="152"/>
      <c r="B498" s="152"/>
      <c r="C498" s="152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  <c r="AA498" s="152"/>
      <c r="AB498" s="152"/>
      <c r="AC498" s="152"/>
      <c r="AD498" s="152"/>
      <c r="AE498" s="152"/>
      <c r="AF498" s="152"/>
      <c r="AG498" s="152"/>
      <c r="AH498" s="152"/>
      <c r="AI498" s="152"/>
      <c r="AJ498" s="152"/>
      <c r="AK498" s="152"/>
      <c r="AL498" s="152"/>
      <c r="AM498" s="152"/>
    </row>
    <row r="499">
      <c r="A499" s="152"/>
      <c r="B499" s="152"/>
      <c r="C499" s="152"/>
      <c r="D499" s="152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  <c r="AA499" s="152"/>
      <c r="AB499" s="152"/>
      <c r="AC499" s="152"/>
      <c r="AD499" s="152"/>
      <c r="AE499" s="152"/>
      <c r="AF499" s="152"/>
      <c r="AG499" s="152"/>
      <c r="AH499" s="152"/>
      <c r="AI499" s="152"/>
      <c r="AJ499" s="152"/>
      <c r="AK499" s="152"/>
      <c r="AL499" s="152"/>
      <c r="AM499" s="152"/>
    </row>
    <row r="500">
      <c r="A500" s="152"/>
      <c r="B500" s="152"/>
      <c r="C500" s="152"/>
      <c r="D500" s="152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  <c r="AA500" s="152"/>
      <c r="AB500" s="152"/>
      <c r="AC500" s="152"/>
      <c r="AD500" s="152"/>
      <c r="AE500" s="152"/>
      <c r="AF500" s="152"/>
      <c r="AG500" s="152"/>
      <c r="AH500" s="152"/>
      <c r="AI500" s="152"/>
      <c r="AJ500" s="152"/>
      <c r="AK500" s="152"/>
      <c r="AL500" s="152"/>
      <c r="AM500" s="152"/>
    </row>
    <row r="501">
      <c r="A501" s="152"/>
      <c r="B501" s="152"/>
      <c r="C501" s="152"/>
      <c r="D501" s="152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  <c r="AA501" s="152"/>
      <c r="AB501" s="152"/>
      <c r="AC501" s="152"/>
      <c r="AD501" s="152"/>
      <c r="AE501" s="152"/>
      <c r="AF501" s="152"/>
      <c r="AG501" s="152"/>
      <c r="AH501" s="152"/>
      <c r="AI501" s="152"/>
      <c r="AJ501" s="152"/>
      <c r="AK501" s="152"/>
      <c r="AL501" s="152"/>
      <c r="AM501" s="152"/>
    </row>
    <row r="502">
      <c r="A502" s="152"/>
      <c r="B502" s="152"/>
      <c r="C502" s="152"/>
      <c r="D502" s="152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  <c r="AA502" s="152"/>
      <c r="AB502" s="152"/>
      <c r="AC502" s="152"/>
      <c r="AD502" s="152"/>
      <c r="AE502" s="152"/>
      <c r="AF502" s="152"/>
      <c r="AG502" s="152"/>
      <c r="AH502" s="152"/>
      <c r="AI502" s="152"/>
      <c r="AJ502" s="152"/>
      <c r="AK502" s="152"/>
      <c r="AL502" s="152"/>
      <c r="AM502" s="152"/>
    </row>
    <row r="503">
      <c r="A503" s="152"/>
      <c r="B503" s="152"/>
      <c r="C503" s="152"/>
      <c r="D503" s="152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  <c r="AA503" s="152"/>
      <c r="AB503" s="152"/>
      <c r="AC503" s="152"/>
      <c r="AD503" s="152"/>
      <c r="AE503" s="152"/>
      <c r="AF503" s="152"/>
      <c r="AG503" s="152"/>
      <c r="AH503" s="152"/>
      <c r="AI503" s="152"/>
      <c r="AJ503" s="152"/>
      <c r="AK503" s="152"/>
      <c r="AL503" s="152"/>
      <c r="AM503" s="152"/>
    </row>
    <row r="504">
      <c r="A504" s="152"/>
      <c r="B504" s="152"/>
      <c r="C504" s="152"/>
      <c r="D504" s="152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  <c r="AA504" s="152"/>
      <c r="AB504" s="152"/>
      <c r="AC504" s="152"/>
      <c r="AD504" s="152"/>
      <c r="AE504" s="152"/>
      <c r="AF504" s="152"/>
      <c r="AG504" s="152"/>
      <c r="AH504" s="152"/>
      <c r="AI504" s="152"/>
      <c r="AJ504" s="152"/>
      <c r="AK504" s="152"/>
      <c r="AL504" s="152"/>
      <c r="AM504" s="152"/>
    </row>
    <row r="505">
      <c r="A505" s="152"/>
      <c r="B505" s="152"/>
      <c r="C505" s="152"/>
      <c r="D505" s="152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  <c r="AA505" s="152"/>
      <c r="AB505" s="152"/>
      <c r="AC505" s="152"/>
      <c r="AD505" s="152"/>
      <c r="AE505" s="152"/>
      <c r="AF505" s="152"/>
      <c r="AG505" s="152"/>
      <c r="AH505" s="152"/>
      <c r="AI505" s="152"/>
      <c r="AJ505" s="152"/>
      <c r="AK505" s="152"/>
      <c r="AL505" s="152"/>
      <c r="AM505" s="152"/>
    </row>
    <row r="506">
      <c r="A506" s="152"/>
      <c r="B506" s="152"/>
      <c r="C506" s="152"/>
      <c r="D506" s="152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  <c r="AA506" s="152"/>
      <c r="AB506" s="152"/>
      <c r="AC506" s="152"/>
      <c r="AD506" s="152"/>
      <c r="AE506" s="152"/>
      <c r="AF506" s="152"/>
      <c r="AG506" s="152"/>
      <c r="AH506" s="152"/>
      <c r="AI506" s="152"/>
      <c r="AJ506" s="152"/>
      <c r="AK506" s="152"/>
      <c r="AL506" s="152"/>
      <c r="AM506" s="152"/>
    </row>
    <row r="507">
      <c r="A507" s="152"/>
      <c r="B507" s="152"/>
      <c r="C507" s="152"/>
      <c r="D507" s="152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  <c r="AA507" s="152"/>
      <c r="AB507" s="152"/>
      <c r="AC507" s="152"/>
      <c r="AD507" s="152"/>
      <c r="AE507" s="152"/>
      <c r="AF507" s="152"/>
      <c r="AG507" s="152"/>
      <c r="AH507" s="152"/>
      <c r="AI507" s="152"/>
      <c r="AJ507" s="152"/>
      <c r="AK507" s="152"/>
      <c r="AL507" s="152"/>
      <c r="AM507" s="152"/>
    </row>
    <row r="508">
      <c r="A508" s="152"/>
      <c r="B508" s="152"/>
      <c r="C508" s="152"/>
      <c r="D508" s="152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  <c r="AA508" s="152"/>
      <c r="AB508" s="152"/>
      <c r="AC508" s="152"/>
      <c r="AD508" s="152"/>
      <c r="AE508" s="152"/>
      <c r="AF508" s="152"/>
      <c r="AG508" s="152"/>
      <c r="AH508" s="152"/>
      <c r="AI508" s="152"/>
      <c r="AJ508" s="152"/>
      <c r="AK508" s="152"/>
      <c r="AL508" s="152"/>
      <c r="AM508" s="152"/>
    </row>
    <row r="509">
      <c r="A509" s="152"/>
      <c r="B509" s="152"/>
      <c r="C509" s="152"/>
      <c r="D509" s="152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  <c r="AA509" s="152"/>
      <c r="AB509" s="152"/>
      <c r="AC509" s="152"/>
      <c r="AD509" s="152"/>
      <c r="AE509" s="152"/>
      <c r="AF509" s="152"/>
      <c r="AG509" s="152"/>
      <c r="AH509" s="152"/>
      <c r="AI509" s="152"/>
      <c r="AJ509" s="152"/>
      <c r="AK509" s="152"/>
      <c r="AL509" s="152"/>
      <c r="AM509" s="152"/>
    </row>
    <row r="510">
      <c r="A510" s="152"/>
      <c r="B510" s="152"/>
      <c r="C510" s="152"/>
      <c r="D510" s="152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  <c r="AA510" s="152"/>
      <c r="AB510" s="152"/>
      <c r="AC510" s="152"/>
      <c r="AD510" s="152"/>
      <c r="AE510" s="152"/>
      <c r="AF510" s="152"/>
      <c r="AG510" s="152"/>
      <c r="AH510" s="152"/>
      <c r="AI510" s="152"/>
      <c r="AJ510" s="152"/>
      <c r="AK510" s="152"/>
      <c r="AL510" s="152"/>
      <c r="AM510" s="152"/>
    </row>
    <row r="511">
      <c r="A511" s="152"/>
      <c r="B511" s="152"/>
      <c r="C511" s="152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  <c r="AA511" s="152"/>
      <c r="AB511" s="152"/>
      <c r="AC511" s="152"/>
      <c r="AD511" s="152"/>
      <c r="AE511" s="152"/>
      <c r="AF511" s="152"/>
      <c r="AG511" s="152"/>
      <c r="AH511" s="152"/>
      <c r="AI511" s="152"/>
      <c r="AJ511" s="152"/>
      <c r="AK511" s="152"/>
      <c r="AL511" s="152"/>
      <c r="AM511" s="152"/>
    </row>
    <row r="512">
      <c r="A512" s="152"/>
      <c r="B512" s="152"/>
      <c r="C512" s="152"/>
      <c r="D512" s="152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  <c r="AA512" s="152"/>
      <c r="AB512" s="152"/>
      <c r="AC512" s="152"/>
      <c r="AD512" s="152"/>
      <c r="AE512" s="152"/>
      <c r="AF512" s="152"/>
      <c r="AG512" s="152"/>
      <c r="AH512" s="152"/>
      <c r="AI512" s="152"/>
      <c r="AJ512" s="152"/>
      <c r="AK512" s="152"/>
      <c r="AL512" s="152"/>
      <c r="AM512" s="152"/>
    </row>
    <row r="513">
      <c r="A513" s="152"/>
      <c r="B513" s="152"/>
      <c r="C513" s="152"/>
      <c r="D513" s="152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  <c r="AA513" s="152"/>
      <c r="AB513" s="152"/>
      <c r="AC513" s="152"/>
      <c r="AD513" s="152"/>
      <c r="AE513" s="152"/>
      <c r="AF513" s="152"/>
      <c r="AG513" s="152"/>
      <c r="AH513" s="152"/>
      <c r="AI513" s="152"/>
      <c r="AJ513" s="152"/>
      <c r="AK513" s="152"/>
      <c r="AL513" s="152"/>
      <c r="AM513" s="152"/>
    </row>
    <row r="514">
      <c r="A514" s="152"/>
      <c r="B514" s="152"/>
      <c r="C514" s="152"/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  <c r="AA514" s="152"/>
      <c r="AB514" s="152"/>
      <c r="AC514" s="152"/>
      <c r="AD514" s="152"/>
      <c r="AE514" s="152"/>
      <c r="AF514" s="152"/>
      <c r="AG514" s="152"/>
      <c r="AH514" s="152"/>
      <c r="AI514" s="152"/>
      <c r="AJ514" s="152"/>
      <c r="AK514" s="152"/>
      <c r="AL514" s="152"/>
      <c r="AM514" s="152"/>
    </row>
    <row r="515">
      <c r="A515" s="152"/>
      <c r="B515" s="152"/>
      <c r="C515" s="152"/>
      <c r="D515" s="152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  <c r="AA515" s="152"/>
      <c r="AB515" s="152"/>
      <c r="AC515" s="152"/>
      <c r="AD515" s="152"/>
      <c r="AE515" s="152"/>
      <c r="AF515" s="152"/>
      <c r="AG515" s="152"/>
      <c r="AH515" s="152"/>
      <c r="AI515" s="152"/>
      <c r="AJ515" s="152"/>
      <c r="AK515" s="152"/>
      <c r="AL515" s="152"/>
      <c r="AM515" s="152"/>
    </row>
    <row r="516">
      <c r="A516" s="152"/>
      <c r="B516" s="152"/>
      <c r="C516" s="152"/>
      <c r="D516" s="152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  <c r="AA516" s="152"/>
      <c r="AB516" s="152"/>
      <c r="AC516" s="152"/>
      <c r="AD516" s="152"/>
      <c r="AE516" s="152"/>
      <c r="AF516" s="152"/>
      <c r="AG516" s="152"/>
      <c r="AH516" s="152"/>
      <c r="AI516" s="152"/>
      <c r="AJ516" s="152"/>
      <c r="AK516" s="152"/>
      <c r="AL516" s="152"/>
      <c r="AM516" s="152"/>
    </row>
    <row r="517">
      <c r="A517" s="152"/>
      <c r="B517" s="152"/>
      <c r="C517" s="152"/>
      <c r="D517" s="152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  <c r="AA517" s="152"/>
      <c r="AB517" s="152"/>
      <c r="AC517" s="152"/>
      <c r="AD517" s="152"/>
      <c r="AE517" s="152"/>
      <c r="AF517" s="152"/>
      <c r="AG517" s="152"/>
      <c r="AH517" s="152"/>
      <c r="AI517" s="152"/>
      <c r="AJ517" s="152"/>
      <c r="AK517" s="152"/>
      <c r="AL517" s="152"/>
      <c r="AM517" s="152"/>
    </row>
    <row r="518">
      <c r="A518" s="152"/>
      <c r="B518" s="152"/>
      <c r="C518" s="152"/>
      <c r="D518" s="152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  <c r="AA518" s="152"/>
      <c r="AB518" s="152"/>
      <c r="AC518" s="152"/>
      <c r="AD518" s="152"/>
      <c r="AE518" s="152"/>
      <c r="AF518" s="152"/>
      <c r="AG518" s="152"/>
      <c r="AH518" s="152"/>
      <c r="AI518" s="152"/>
      <c r="AJ518" s="152"/>
      <c r="AK518" s="152"/>
      <c r="AL518" s="152"/>
      <c r="AM518" s="152"/>
    </row>
    <row r="519">
      <c r="A519" s="152"/>
      <c r="B519" s="152"/>
      <c r="C519" s="152"/>
      <c r="D519" s="152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  <c r="AA519" s="152"/>
      <c r="AB519" s="152"/>
      <c r="AC519" s="152"/>
      <c r="AD519" s="152"/>
      <c r="AE519" s="152"/>
      <c r="AF519" s="152"/>
      <c r="AG519" s="152"/>
      <c r="AH519" s="152"/>
      <c r="AI519" s="152"/>
      <c r="AJ519" s="152"/>
      <c r="AK519" s="152"/>
      <c r="AL519" s="152"/>
      <c r="AM519" s="152"/>
    </row>
    <row r="520">
      <c r="A520" s="152"/>
      <c r="B520" s="152"/>
      <c r="C520" s="152"/>
      <c r="D520" s="152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  <c r="AA520" s="152"/>
      <c r="AB520" s="152"/>
      <c r="AC520" s="152"/>
      <c r="AD520" s="152"/>
      <c r="AE520" s="152"/>
      <c r="AF520" s="152"/>
      <c r="AG520" s="152"/>
      <c r="AH520" s="152"/>
      <c r="AI520" s="152"/>
      <c r="AJ520" s="152"/>
      <c r="AK520" s="152"/>
      <c r="AL520" s="152"/>
      <c r="AM520" s="152"/>
    </row>
    <row r="521">
      <c r="A521" s="152"/>
      <c r="B521" s="152"/>
      <c r="C521" s="152"/>
      <c r="D521" s="152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  <c r="AA521" s="152"/>
      <c r="AB521" s="152"/>
      <c r="AC521" s="152"/>
      <c r="AD521" s="152"/>
      <c r="AE521" s="152"/>
      <c r="AF521" s="152"/>
      <c r="AG521" s="152"/>
      <c r="AH521" s="152"/>
      <c r="AI521" s="152"/>
      <c r="AJ521" s="152"/>
      <c r="AK521" s="152"/>
      <c r="AL521" s="152"/>
      <c r="AM521" s="152"/>
    </row>
    <row r="522">
      <c r="A522" s="152"/>
      <c r="B522" s="152"/>
      <c r="C522" s="152"/>
      <c r="D522" s="152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  <c r="AA522" s="152"/>
      <c r="AB522" s="152"/>
      <c r="AC522" s="152"/>
      <c r="AD522" s="152"/>
      <c r="AE522" s="152"/>
      <c r="AF522" s="152"/>
      <c r="AG522" s="152"/>
      <c r="AH522" s="152"/>
      <c r="AI522" s="152"/>
      <c r="AJ522" s="152"/>
      <c r="AK522" s="152"/>
      <c r="AL522" s="152"/>
      <c r="AM522" s="152"/>
    </row>
    <row r="523">
      <c r="A523" s="152"/>
      <c r="B523" s="152"/>
      <c r="C523" s="152"/>
      <c r="D523" s="152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  <c r="AA523" s="152"/>
      <c r="AB523" s="152"/>
      <c r="AC523" s="152"/>
      <c r="AD523" s="152"/>
      <c r="AE523" s="152"/>
      <c r="AF523" s="152"/>
      <c r="AG523" s="152"/>
      <c r="AH523" s="152"/>
      <c r="AI523" s="152"/>
      <c r="AJ523" s="152"/>
      <c r="AK523" s="152"/>
      <c r="AL523" s="152"/>
      <c r="AM523" s="152"/>
    </row>
    <row r="524">
      <c r="A524" s="152"/>
      <c r="B524" s="152"/>
      <c r="C524" s="152"/>
      <c r="D524" s="152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  <c r="AA524" s="152"/>
      <c r="AB524" s="152"/>
      <c r="AC524" s="152"/>
      <c r="AD524" s="152"/>
      <c r="AE524" s="152"/>
      <c r="AF524" s="152"/>
      <c r="AG524" s="152"/>
      <c r="AH524" s="152"/>
      <c r="AI524" s="152"/>
      <c r="AJ524" s="152"/>
      <c r="AK524" s="152"/>
      <c r="AL524" s="152"/>
      <c r="AM524" s="152"/>
    </row>
    <row r="525">
      <c r="A525" s="152"/>
      <c r="B525" s="152"/>
      <c r="C525" s="152"/>
      <c r="D525" s="152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  <c r="AA525" s="152"/>
      <c r="AB525" s="152"/>
      <c r="AC525" s="152"/>
      <c r="AD525" s="152"/>
      <c r="AE525" s="152"/>
      <c r="AF525" s="152"/>
      <c r="AG525" s="152"/>
      <c r="AH525" s="152"/>
      <c r="AI525" s="152"/>
      <c r="AJ525" s="152"/>
      <c r="AK525" s="152"/>
      <c r="AL525" s="152"/>
      <c r="AM525" s="152"/>
    </row>
    <row r="526">
      <c r="A526" s="152"/>
      <c r="B526" s="152"/>
      <c r="C526" s="152"/>
      <c r="D526" s="152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  <c r="AA526" s="152"/>
      <c r="AB526" s="152"/>
      <c r="AC526" s="152"/>
      <c r="AD526" s="152"/>
      <c r="AE526" s="152"/>
      <c r="AF526" s="152"/>
      <c r="AG526" s="152"/>
      <c r="AH526" s="152"/>
      <c r="AI526" s="152"/>
      <c r="AJ526" s="152"/>
      <c r="AK526" s="152"/>
      <c r="AL526" s="152"/>
      <c r="AM526" s="152"/>
    </row>
    <row r="527">
      <c r="A527" s="152"/>
      <c r="B527" s="152"/>
      <c r="C527" s="152"/>
      <c r="D527" s="152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  <c r="AA527" s="152"/>
      <c r="AB527" s="152"/>
      <c r="AC527" s="152"/>
      <c r="AD527" s="152"/>
      <c r="AE527" s="152"/>
      <c r="AF527" s="152"/>
      <c r="AG527" s="152"/>
      <c r="AH527" s="152"/>
      <c r="AI527" s="152"/>
      <c r="AJ527" s="152"/>
      <c r="AK527" s="152"/>
      <c r="AL527" s="152"/>
      <c r="AM527" s="152"/>
    </row>
    <row r="528">
      <c r="A528" s="152"/>
      <c r="B528" s="152"/>
      <c r="C528" s="152"/>
      <c r="D528" s="152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  <c r="AA528" s="152"/>
      <c r="AB528" s="152"/>
      <c r="AC528" s="152"/>
      <c r="AD528" s="152"/>
      <c r="AE528" s="152"/>
      <c r="AF528" s="152"/>
      <c r="AG528" s="152"/>
      <c r="AH528" s="152"/>
      <c r="AI528" s="152"/>
      <c r="AJ528" s="152"/>
      <c r="AK528" s="152"/>
      <c r="AL528" s="152"/>
      <c r="AM528" s="152"/>
    </row>
    <row r="529">
      <c r="A529" s="152"/>
      <c r="B529" s="152"/>
      <c r="C529" s="152"/>
      <c r="D529" s="152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  <c r="AA529" s="152"/>
      <c r="AB529" s="152"/>
      <c r="AC529" s="152"/>
      <c r="AD529" s="152"/>
      <c r="AE529" s="152"/>
      <c r="AF529" s="152"/>
      <c r="AG529" s="152"/>
      <c r="AH529" s="152"/>
      <c r="AI529" s="152"/>
      <c r="AJ529" s="152"/>
      <c r="AK529" s="152"/>
      <c r="AL529" s="152"/>
      <c r="AM529" s="152"/>
    </row>
    <row r="530">
      <c r="A530" s="152"/>
      <c r="B530" s="152"/>
      <c r="C530" s="152"/>
      <c r="D530" s="152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  <c r="AA530" s="152"/>
      <c r="AB530" s="152"/>
      <c r="AC530" s="152"/>
      <c r="AD530" s="152"/>
      <c r="AE530" s="152"/>
      <c r="AF530" s="152"/>
      <c r="AG530" s="152"/>
      <c r="AH530" s="152"/>
      <c r="AI530" s="152"/>
      <c r="AJ530" s="152"/>
      <c r="AK530" s="152"/>
      <c r="AL530" s="152"/>
      <c r="AM530" s="152"/>
    </row>
    <row r="531">
      <c r="A531" s="152"/>
      <c r="B531" s="152"/>
      <c r="C531" s="152"/>
      <c r="D531" s="152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  <c r="AA531" s="152"/>
      <c r="AB531" s="152"/>
      <c r="AC531" s="152"/>
      <c r="AD531" s="152"/>
      <c r="AE531" s="152"/>
      <c r="AF531" s="152"/>
      <c r="AG531" s="152"/>
      <c r="AH531" s="152"/>
      <c r="AI531" s="152"/>
      <c r="AJ531" s="152"/>
      <c r="AK531" s="152"/>
      <c r="AL531" s="152"/>
      <c r="AM531" s="152"/>
    </row>
    <row r="532">
      <c r="A532" s="152"/>
      <c r="B532" s="152"/>
      <c r="C532" s="152"/>
      <c r="D532" s="152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  <c r="AA532" s="152"/>
      <c r="AB532" s="152"/>
      <c r="AC532" s="152"/>
      <c r="AD532" s="152"/>
      <c r="AE532" s="152"/>
      <c r="AF532" s="152"/>
      <c r="AG532" s="152"/>
      <c r="AH532" s="152"/>
      <c r="AI532" s="152"/>
      <c r="AJ532" s="152"/>
      <c r="AK532" s="152"/>
      <c r="AL532" s="152"/>
      <c r="AM532" s="152"/>
    </row>
    <row r="533">
      <c r="A533" s="152"/>
      <c r="B533" s="152"/>
      <c r="C533" s="152"/>
      <c r="D533" s="152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  <c r="AA533" s="152"/>
      <c r="AB533" s="152"/>
      <c r="AC533" s="152"/>
      <c r="AD533" s="152"/>
      <c r="AE533" s="152"/>
      <c r="AF533" s="152"/>
      <c r="AG533" s="152"/>
      <c r="AH533" s="152"/>
      <c r="AI533" s="152"/>
      <c r="AJ533" s="152"/>
      <c r="AK533" s="152"/>
      <c r="AL533" s="152"/>
      <c r="AM533" s="152"/>
    </row>
    <row r="534">
      <c r="A534" s="152"/>
      <c r="B534" s="152"/>
      <c r="C534" s="152"/>
      <c r="D534" s="152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  <c r="AA534" s="152"/>
      <c r="AB534" s="152"/>
      <c r="AC534" s="152"/>
      <c r="AD534" s="152"/>
      <c r="AE534" s="152"/>
      <c r="AF534" s="152"/>
      <c r="AG534" s="152"/>
      <c r="AH534" s="152"/>
      <c r="AI534" s="152"/>
      <c r="AJ534" s="152"/>
      <c r="AK534" s="152"/>
      <c r="AL534" s="152"/>
      <c r="AM534" s="152"/>
    </row>
    <row r="535">
      <c r="A535" s="152"/>
      <c r="B535" s="152"/>
      <c r="C535" s="152"/>
      <c r="D535" s="152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  <c r="AA535" s="152"/>
      <c r="AB535" s="152"/>
      <c r="AC535" s="152"/>
      <c r="AD535" s="152"/>
      <c r="AE535" s="152"/>
      <c r="AF535" s="152"/>
      <c r="AG535" s="152"/>
      <c r="AH535" s="152"/>
      <c r="AI535" s="152"/>
      <c r="AJ535" s="152"/>
      <c r="AK535" s="152"/>
      <c r="AL535" s="152"/>
      <c r="AM535" s="152"/>
    </row>
    <row r="536">
      <c r="A536" s="152"/>
      <c r="B536" s="152"/>
      <c r="C536" s="152"/>
      <c r="D536" s="152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  <c r="AA536" s="152"/>
      <c r="AB536" s="152"/>
      <c r="AC536" s="152"/>
      <c r="AD536" s="152"/>
      <c r="AE536" s="152"/>
      <c r="AF536" s="152"/>
      <c r="AG536" s="152"/>
      <c r="AH536" s="152"/>
      <c r="AI536" s="152"/>
      <c r="AJ536" s="152"/>
      <c r="AK536" s="152"/>
      <c r="AL536" s="152"/>
      <c r="AM536" s="152"/>
    </row>
    <row r="537">
      <c r="A537" s="152"/>
      <c r="B537" s="152"/>
      <c r="C537" s="152"/>
      <c r="D537" s="152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  <c r="AA537" s="152"/>
      <c r="AB537" s="152"/>
      <c r="AC537" s="152"/>
      <c r="AD537" s="152"/>
      <c r="AE537" s="152"/>
      <c r="AF537" s="152"/>
      <c r="AG537" s="152"/>
      <c r="AH537" s="152"/>
      <c r="AI537" s="152"/>
      <c r="AJ537" s="152"/>
      <c r="AK537" s="152"/>
      <c r="AL537" s="152"/>
      <c r="AM537" s="152"/>
    </row>
    <row r="538">
      <c r="A538" s="152"/>
      <c r="B538" s="152"/>
      <c r="C538" s="152"/>
      <c r="D538" s="152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  <c r="AA538" s="152"/>
      <c r="AB538" s="152"/>
      <c r="AC538" s="152"/>
      <c r="AD538" s="152"/>
      <c r="AE538" s="152"/>
      <c r="AF538" s="152"/>
      <c r="AG538" s="152"/>
      <c r="AH538" s="152"/>
      <c r="AI538" s="152"/>
      <c r="AJ538" s="152"/>
      <c r="AK538" s="152"/>
      <c r="AL538" s="152"/>
      <c r="AM538" s="152"/>
    </row>
    <row r="539">
      <c r="A539" s="152"/>
      <c r="B539" s="152"/>
      <c r="C539" s="152"/>
      <c r="D539" s="152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  <c r="AA539" s="152"/>
      <c r="AB539" s="152"/>
      <c r="AC539" s="152"/>
      <c r="AD539" s="152"/>
      <c r="AE539" s="152"/>
      <c r="AF539" s="152"/>
      <c r="AG539" s="152"/>
      <c r="AH539" s="152"/>
      <c r="AI539" s="152"/>
      <c r="AJ539" s="152"/>
      <c r="AK539" s="152"/>
      <c r="AL539" s="152"/>
      <c r="AM539" s="152"/>
    </row>
    <row r="540">
      <c r="A540" s="152"/>
      <c r="B540" s="152"/>
      <c r="C540" s="152"/>
      <c r="D540" s="152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  <c r="AA540" s="152"/>
      <c r="AB540" s="152"/>
      <c r="AC540" s="152"/>
      <c r="AD540" s="152"/>
      <c r="AE540" s="152"/>
      <c r="AF540" s="152"/>
      <c r="AG540" s="152"/>
      <c r="AH540" s="152"/>
      <c r="AI540" s="152"/>
      <c r="AJ540" s="152"/>
      <c r="AK540" s="152"/>
      <c r="AL540" s="152"/>
      <c r="AM540" s="152"/>
    </row>
    <row r="541">
      <c r="A541" s="152"/>
      <c r="B541" s="152"/>
      <c r="C541" s="152"/>
      <c r="D541" s="152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  <c r="AA541" s="152"/>
      <c r="AB541" s="152"/>
      <c r="AC541" s="152"/>
      <c r="AD541" s="152"/>
      <c r="AE541" s="152"/>
      <c r="AF541" s="152"/>
      <c r="AG541" s="152"/>
      <c r="AH541" s="152"/>
      <c r="AI541" s="152"/>
      <c r="AJ541" s="152"/>
      <c r="AK541" s="152"/>
      <c r="AL541" s="152"/>
      <c r="AM541" s="152"/>
    </row>
    <row r="542">
      <c r="A542" s="152"/>
      <c r="B542" s="152"/>
      <c r="C542" s="152"/>
      <c r="D542" s="152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  <c r="AA542" s="152"/>
      <c r="AB542" s="152"/>
      <c r="AC542" s="152"/>
      <c r="AD542" s="152"/>
      <c r="AE542" s="152"/>
      <c r="AF542" s="152"/>
      <c r="AG542" s="152"/>
      <c r="AH542" s="152"/>
      <c r="AI542" s="152"/>
      <c r="AJ542" s="152"/>
      <c r="AK542" s="152"/>
      <c r="AL542" s="152"/>
      <c r="AM542" s="152"/>
    </row>
    <row r="543">
      <c r="A543" s="152"/>
      <c r="B543" s="152"/>
      <c r="C543" s="152"/>
      <c r="D543" s="152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  <c r="AA543" s="152"/>
      <c r="AB543" s="152"/>
      <c r="AC543" s="152"/>
      <c r="AD543" s="152"/>
      <c r="AE543" s="152"/>
      <c r="AF543" s="152"/>
      <c r="AG543" s="152"/>
      <c r="AH543" s="152"/>
      <c r="AI543" s="152"/>
      <c r="AJ543" s="152"/>
      <c r="AK543" s="152"/>
      <c r="AL543" s="152"/>
      <c r="AM543" s="152"/>
    </row>
    <row r="544">
      <c r="A544" s="152"/>
      <c r="B544" s="152"/>
      <c r="C544" s="152"/>
      <c r="D544" s="152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  <c r="AA544" s="152"/>
      <c r="AB544" s="152"/>
      <c r="AC544" s="152"/>
      <c r="AD544" s="152"/>
      <c r="AE544" s="152"/>
      <c r="AF544" s="152"/>
      <c r="AG544" s="152"/>
      <c r="AH544" s="152"/>
      <c r="AI544" s="152"/>
      <c r="AJ544" s="152"/>
      <c r="AK544" s="152"/>
      <c r="AL544" s="152"/>
      <c r="AM544" s="152"/>
    </row>
    <row r="545">
      <c r="A545" s="152"/>
      <c r="B545" s="152"/>
      <c r="C545" s="152"/>
      <c r="D545" s="152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  <c r="AA545" s="152"/>
      <c r="AB545" s="152"/>
      <c r="AC545" s="152"/>
      <c r="AD545" s="152"/>
      <c r="AE545" s="152"/>
      <c r="AF545" s="152"/>
      <c r="AG545" s="152"/>
      <c r="AH545" s="152"/>
      <c r="AI545" s="152"/>
      <c r="AJ545" s="152"/>
      <c r="AK545" s="152"/>
      <c r="AL545" s="152"/>
      <c r="AM545" s="152"/>
    </row>
    <row r="546">
      <c r="A546" s="152"/>
      <c r="B546" s="152"/>
      <c r="C546" s="152"/>
      <c r="D546" s="152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  <c r="AA546" s="152"/>
      <c r="AB546" s="152"/>
      <c r="AC546" s="152"/>
      <c r="AD546" s="152"/>
      <c r="AE546" s="152"/>
      <c r="AF546" s="152"/>
      <c r="AG546" s="152"/>
      <c r="AH546" s="152"/>
      <c r="AI546" s="152"/>
      <c r="AJ546" s="152"/>
      <c r="AK546" s="152"/>
      <c r="AL546" s="152"/>
      <c r="AM546" s="152"/>
    </row>
    <row r="547">
      <c r="A547" s="152"/>
      <c r="B547" s="152"/>
      <c r="C547" s="152"/>
      <c r="D547" s="152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  <c r="AA547" s="152"/>
      <c r="AB547" s="152"/>
      <c r="AC547" s="152"/>
      <c r="AD547" s="152"/>
      <c r="AE547" s="152"/>
      <c r="AF547" s="152"/>
      <c r="AG547" s="152"/>
      <c r="AH547" s="152"/>
      <c r="AI547" s="152"/>
      <c r="AJ547" s="152"/>
      <c r="AK547" s="152"/>
      <c r="AL547" s="152"/>
      <c r="AM547" s="152"/>
    </row>
    <row r="548">
      <c r="A548" s="152"/>
      <c r="B548" s="152"/>
      <c r="C548" s="152"/>
      <c r="D548" s="152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  <c r="AA548" s="152"/>
      <c r="AB548" s="152"/>
      <c r="AC548" s="152"/>
      <c r="AD548" s="152"/>
      <c r="AE548" s="152"/>
      <c r="AF548" s="152"/>
      <c r="AG548" s="152"/>
      <c r="AH548" s="152"/>
      <c r="AI548" s="152"/>
      <c r="AJ548" s="152"/>
      <c r="AK548" s="152"/>
      <c r="AL548" s="152"/>
      <c r="AM548" s="152"/>
    </row>
    <row r="549">
      <c r="A549" s="152"/>
      <c r="B549" s="152"/>
      <c r="C549" s="152"/>
      <c r="D549" s="152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  <c r="AA549" s="152"/>
      <c r="AB549" s="152"/>
      <c r="AC549" s="152"/>
      <c r="AD549" s="152"/>
      <c r="AE549" s="152"/>
      <c r="AF549" s="152"/>
      <c r="AG549" s="152"/>
      <c r="AH549" s="152"/>
      <c r="AI549" s="152"/>
      <c r="AJ549" s="152"/>
      <c r="AK549" s="152"/>
      <c r="AL549" s="152"/>
      <c r="AM549" s="152"/>
    </row>
    <row r="550">
      <c r="A550" s="152"/>
      <c r="B550" s="152"/>
      <c r="C550" s="152"/>
      <c r="D550" s="152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  <c r="AA550" s="152"/>
      <c r="AB550" s="152"/>
      <c r="AC550" s="152"/>
      <c r="AD550" s="152"/>
      <c r="AE550" s="152"/>
      <c r="AF550" s="152"/>
      <c r="AG550" s="152"/>
      <c r="AH550" s="152"/>
      <c r="AI550" s="152"/>
      <c r="AJ550" s="152"/>
      <c r="AK550" s="152"/>
      <c r="AL550" s="152"/>
      <c r="AM550" s="152"/>
    </row>
    <row r="551">
      <c r="A551" s="152"/>
      <c r="B551" s="152"/>
      <c r="C551" s="152"/>
      <c r="D551" s="152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  <c r="AA551" s="152"/>
      <c r="AB551" s="152"/>
      <c r="AC551" s="152"/>
      <c r="AD551" s="152"/>
      <c r="AE551" s="152"/>
      <c r="AF551" s="152"/>
      <c r="AG551" s="152"/>
      <c r="AH551" s="152"/>
      <c r="AI551" s="152"/>
      <c r="AJ551" s="152"/>
      <c r="AK551" s="152"/>
      <c r="AL551" s="152"/>
      <c r="AM551" s="152"/>
    </row>
    <row r="552">
      <c r="A552" s="152"/>
      <c r="B552" s="152"/>
      <c r="C552" s="152"/>
      <c r="D552" s="152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  <c r="AA552" s="152"/>
      <c r="AB552" s="152"/>
      <c r="AC552" s="152"/>
      <c r="AD552" s="152"/>
      <c r="AE552" s="152"/>
      <c r="AF552" s="152"/>
      <c r="AG552" s="152"/>
      <c r="AH552" s="152"/>
      <c r="AI552" s="152"/>
      <c r="AJ552" s="152"/>
      <c r="AK552" s="152"/>
      <c r="AL552" s="152"/>
      <c r="AM552" s="152"/>
    </row>
    <row r="553">
      <c r="A553" s="152"/>
      <c r="B553" s="152"/>
      <c r="C553" s="152"/>
      <c r="D553" s="152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  <c r="AA553" s="152"/>
      <c r="AB553" s="152"/>
      <c r="AC553" s="152"/>
      <c r="AD553" s="152"/>
      <c r="AE553" s="152"/>
      <c r="AF553" s="152"/>
      <c r="AG553" s="152"/>
      <c r="AH553" s="152"/>
      <c r="AI553" s="152"/>
      <c r="AJ553" s="152"/>
      <c r="AK553" s="152"/>
      <c r="AL553" s="152"/>
      <c r="AM553" s="152"/>
    </row>
    <row r="554">
      <c r="A554" s="152"/>
      <c r="B554" s="152"/>
      <c r="C554" s="152"/>
      <c r="D554" s="152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  <c r="AA554" s="152"/>
      <c r="AB554" s="152"/>
      <c r="AC554" s="152"/>
      <c r="AD554" s="152"/>
      <c r="AE554" s="152"/>
      <c r="AF554" s="152"/>
      <c r="AG554" s="152"/>
      <c r="AH554" s="152"/>
      <c r="AI554" s="152"/>
      <c r="AJ554" s="152"/>
      <c r="AK554" s="152"/>
      <c r="AL554" s="152"/>
      <c r="AM554" s="152"/>
    </row>
    <row r="555">
      <c r="A555" s="152"/>
      <c r="B555" s="152"/>
      <c r="C555" s="152"/>
      <c r="D555" s="152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  <c r="AA555" s="152"/>
      <c r="AB555" s="152"/>
      <c r="AC555" s="152"/>
      <c r="AD555" s="152"/>
      <c r="AE555" s="152"/>
      <c r="AF555" s="152"/>
      <c r="AG555" s="152"/>
      <c r="AH555" s="152"/>
      <c r="AI555" s="152"/>
      <c r="AJ555" s="152"/>
      <c r="AK555" s="152"/>
      <c r="AL555" s="152"/>
      <c r="AM555" s="152"/>
    </row>
    <row r="556">
      <c r="A556" s="152"/>
      <c r="B556" s="152"/>
      <c r="C556" s="152"/>
      <c r="D556" s="152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  <c r="AA556" s="152"/>
      <c r="AB556" s="152"/>
      <c r="AC556" s="152"/>
      <c r="AD556" s="152"/>
      <c r="AE556" s="152"/>
      <c r="AF556" s="152"/>
      <c r="AG556" s="152"/>
      <c r="AH556" s="152"/>
      <c r="AI556" s="152"/>
      <c r="AJ556" s="152"/>
      <c r="AK556" s="152"/>
      <c r="AL556" s="152"/>
      <c r="AM556" s="152"/>
    </row>
    <row r="557">
      <c r="A557" s="152"/>
      <c r="B557" s="152"/>
      <c r="C557" s="152"/>
      <c r="D557" s="152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  <c r="AA557" s="152"/>
      <c r="AB557" s="152"/>
      <c r="AC557" s="152"/>
      <c r="AD557" s="152"/>
      <c r="AE557" s="152"/>
      <c r="AF557" s="152"/>
      <c r="AG557" s="152"/>
      <c r="AH557" s="152"/>
      <c r="AI557" s="152"/>
      <c r="AJ557" s="152"/>
      <c r="AK557" s="152"/>
      <c r="AL557" s="152"/>
      <c r="AM557" s="152"/>
    </row>
    <row r="558">
      <c r="A558" s="152"/>
      <c r="B558" s="152"/>
      <c r="C558" s="152"/>
      <c r="D558" s="152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  <c r="AA558" s="152"/>
      <c r="AB558" s="152"/>
      <c r="AC558" s="152"/>
      <c r="AD558" s="152"/>
      <c r="AE558" s="152"/>
      <c r="AF558" s="152"/>
      <c r="AG558" s="152"/>
      <c r="AH558" s="152"/>
      <c r="AI558" s="152"/>
      <c r="AJ558" s="152"/>
      <c r="AK558" s="152"/>
      <c r="AL558" s="152"/>
      <c r="AM558" s="152"/>
    </row>
    <row r="559">
      <c r="A559" s="152"/>
      <c r="B559" s="152"/>
      <c r="C559" s="152"/>
      <c r="D559" s="152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  <c r="AA559" s="152"/>
      <c r="AB559" s="152"/>
      <c r="AC559" s="152"/>
      <c r="AD559" s="152"/>
      <c r="AE559" s="152"/>
      <c r="AF559" s="152"/>
      <c r="AG559" s="152"/>
      <c r="AH559" s="152"/>
      <c r="AI559" s="152"/>
      <c r="AJ559" s="152"/>
      <c r="AK559" s="152"/>
      <c r="AL559" s="152"/>
      <c r="AM559" s="152"/>
    </row>
    <row r="560">
      <c r="A560" s="152"/>
      <c r="B560" s="152"/>
      <c r="C560" s="152"/>
      <c r="D560" s="152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  <c r="AA560" s="152"/>
      <c r="AB560" s="152"/>
      <c r="AC560" s="152"/>
      <c r="AD560" s="152"/>
      <c r="AE560" s="152"/>
      <c r="AF560" s="152"/>
      <c r="AG560" s="152"/>
      <c r="AH560" s="152"/>
      <c r="AI560" s="152"/>
      <c r="AJ560" s="152"/>
      <c r="AK560" s="152"/>
      <c r="AL560" s="152"/>
      <c r="AM560" s="152"/>
    </row>
    <row r="561">
      <c r="A561" s="152"/>
      <c r="B561" s="152"/>
      <c r="C561" s="152"/>
      <c r="D561" s="152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  <c r="AA561" s="152"/>
      <c r="AB561" s="152"/>
      <c r="AC561" s="152"/>
      <c r="AD561" s="152"/>
      <c r="AE561" s="152"/>
      <c r="AF561" s="152"/>
      <c r="AG561" s="152"/>
      <c r="AH561" s="152"/>
      <c r="AI561" s="152"/>
      <c r="AJ561" s="152"/>
      <c r="AK561" s="152"/>
      <c r="AL561" s="152"/>
      <c r="AM561" s="152"/>
    </row>
    <row r="562">
      <c r="A562" s="152"/>
      <c r="B562" s="152"/>
      <c r="C562" s="152"/>
      <c r="D562" s="152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  <c r="AA562" s="152"/>
      <c r="AB562" s="152"/>
      <c r="AC562" s="152"/>
      <c r="AD562" s="152"/>
      <c r="AE562" s="152"/>
      <c r="AF562" s="152"/>
      <c r="AG562" s="152"/>
      <c r="AH562" s="152"/>
      <c r="AI562" s="152"/>
      <c r="AJ562" s="152"/>
      <c r="AK562" s="152"/>
      <c r="AL562" s="152"/>
      <c r="AM562" s="152"/>
    </row>
    <row r="563">
      <c r="A563" s="152"/>
      <c r="B563" s="152"/>
      <c r="C563" s="152"/>
      <c r="D563" s="152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  <c r="AA563" s="152"/>
      <c r="AB563" s="152"/>
      <c r="AC563" s="152"/>
      <c r="AD563" s="152"/>
      <c r="AE563" s="152"/>
      <c r="AF563" s="152"/>
      <c r="AG563" s="152"/>
      <c r="AH563" s="152"/>
      <c r="AI563" s="152"/>
      <c r="AJ563" s="152"/>
      <c r="AK563" s="152"/>
      <c r="AL563" s="152"/>
      <c r="AM563" s="152"/>
    </row>
    <row r="564">
      <c r="A564" s="152"/>
      <c r="B564" s="152"/>
      <c r="C564" s="152"/>
      <c r="D564" s="152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  <c r="AA564" s="152"/>
      <c r="AB564" s="152"/>
      <c r="AC564" s="152"/>
      <c r="AD564" s="152"/>
      <c r="AE564" s="152"/>
      <c r="AF564" s="152"/>
      <c r="AG564" s="152"/>
      <c r="AH564" s="152"/>
      <c r="AI564" s="152"/>
      <c r="AJ564" s="152"/>
      <c r="AK564" s="152"/>
      <c r="AL564" s="152"/>
      <c r="AM564" s="152"/>
    </row>
    <row r="565">
      <c r="A565" s="152"/>
      <c r="B565" s="152"/>
      <c r="C565" s="152"/>
      <c r="D565" s="152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  <c r="AA565" s="152"/>
      <c r="AB565" s="152"/>
      <c r="AC565" s="152"/>
      <c r="AD565" s="152"/>
      <c r="AE565" s="152"/>
      <c r="AF565" s="152"/>
      <c r="AG565" s="152"/>
      <c r="AH565" s="152"/>
      <c r="AI565" s="152"/>
      <c r="AJ565" s="152"/>
      <c r="AK565" s="152"/>
      <c r="AL565" s="152"/>
      <c r="AM565" s="152"/>
    </row>
    <row r="566">
      <c r="A566" s="152"/>
      <c r="B566" s="152"/>
      <c r="C566" s="152"/>
      <c r="D566" s="152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  <c r="AA566" s="152"/>
      <c r="AB566" s="152"/>
      <c r="AC566" s="152"/>
      <c r="AD566" s="152"/>
      <c r="AE566" s="152"/>
      <c r="AF566" s="152"/>
      <c r="AG566" s="152"/>
      <c r="AH566" s="152"/>
      <c r="AI566" s="152"/>
      <c r="AJ566" s="152"/>
      <c r="AK566" s="152"/>
      <c r="AL566" s="152"/>
      <c r="AM566" s="152"/>
    </row>
    <row r="567">
      <c r="A567" s="152"/>
      <c r="B567" s="152"/>
      <c r="C567" s="152"/>
      <c r="D567" s="152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  <c r="AA567" s="152"/>
      <c r="AB567" s="152"/>
      <c r="AC567" s="152"/>
      <c r="AD567" s="152"/>
      <c r="AE567" s="152"/>
      <c r="AF567" s="152"/>
      <c r="AG567" s="152"/>
      <c r="AH567" s="152"/>
      <c r="AI567" s="152"/>
      <c r="AJ567" s="152"/>
      <c r="AK567" s="152"/>
      <c r="AL567" s="152"/>
      <c r="AM567" s="152"/>
    </row>
    <row r="568">
      <c r="A568" s="152"/>
      <c r="B568" s="152"/>
      <c r="C568" s="152"/>
      <c r="D568" s="152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  <c r="AA568" s="152"/>
      <c r="AB568" s="152"/>
      <c r="AC568" s="152"/>
      <c r="AD568" s="152"/>
      <c r="AE568" s="152"/>
      <c r="AF568" s="152"/>
      <c r="AG568" s="152"/>
      <c r="AH568" s="152"/>
      <c r="AI568" s="152"/>
      <c r="AJ568" s="152"/>
      <c r="AK568" s="152"/>
      <c r="AL568" s="152"/>
      <c r="AM568" s="152"/>
    </row>
    <row r="569">
      <c r="A569" s="152"/>
      <c r="B569" s="152"/>
      <c r="C569" s="152"/>
      <c r="D569" s="152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  <c r="AA569" s="152"/>
      <c r="AB569" s="152"/>
      <c r="AC569" s="152"/>
      <c r="AD569" s="152"/>
      <c r="AE569" s="152"/>
      <c r="AF569" s="152"/>
      <c r="AG569" s="152"/>
      <c r="AH569" s="152"/>
      <c r="AI569" s="152"/>
      <c r="AJ569" s="152"/>
      <c r="AK569" s="152"/>
      <c r="AL569" s="152"/>
      <c r="AM569" s="152"/>
    </row>
    <row r="570">
      <c r="A570" s="152"/>
      <c r="B570" s="152"/>
      <c r="C570" s="152"/>
      <c r="D570" s="152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  <c r="AA570" s="152"/>
      <c r="AB570" s="152"/>
      <c r="AC570" s="152"/>
      <c r="AD570" s="152"/>
      <c r="AE570" s="152"/>
      <c r="AF570" s="152"/>
      <c r="AG570" s="152"/>
      <c r="AH570" s="152"/>
      <c r="AI570" s="152"/>
      <c r="AJ570" s="152"/>
      <c r="AK570" s="152"/>
      <c r="AL570" s="152"/>
      <c r="AM570" s="152"/>
    </row>
    <row r="571">
      <c r="A571" s="152"/>
      <c r="B571" s="152"/>
      <c r="C571" s="152"/>
      <c r="D571" s="152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  <c r="AA571" s="152"/>
      <c r="AB571" s="152"/>
      <c r="AC571" s="152"/>
      <c r="AD571" s="152"/>
      <c r="AE571" s="152"/>
      <c r="AF571" s="152"/>
      <c r="AG571" s="152"/>
      <c r="AH571" s="152"/>
      <c r="AI571" s="152"/>
      <c r="AJ571" s="152"/>
      <c r="AK571" s="152"/>
      <c r="AL571" s="152"/>
      <c r="AM571" s="152"/>
    </row>
    <row r="572">
      <c r="A572" s="152"/>
      <c r="B572" s="152"/>
      <c r="C572" s="152"/>
      <c r="D572" s="152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  <c r="AA572" s="152"/>
      <c r="AB572" s="152"/>
      <c r="AC572" s="152"/>
      <c r="AD572" s="152"/>
      <c r="AE572" s="152"/>
      <c r="AF572" s="152"/>
      <c r="AG572" s="152"/>
      <c r="AH572" s="152"/>
      <c r="AI572" s="152"/>
      <c r="AJ572" s="152"/>
      <c r="AK572" s="152"/>
      <c r="AL572" s="152"/>
      <c r="AM572" s="152"/>
    </row>
    <row r="573">
      <c r="A573" s="152"/>
      <c r="B573" s="152"/>
      <c r="C573" s="152"/>
      <c r="D573" s="152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  <c r="AA573" s="152"/>
      <c r="AB573" s="152"/>
      <c r="AC573" s="152"/>
      <c r="AD573" s="152"/>
      <c r="AE573" s="152"/>
      <c r="AF573" s="152"/>
      <c r="AG573" s="152"/>
      <c r="AH573" s="152"/>
      <c r="AI573" s="152"/>
      <c r="AJ573" s="152"/>
      <c r="AK573" s="152"/>
      <c r="AL573" s="152"/>
      <c r="AM573" s="152"/>
    </row>
    <row r="574">
      <c r="A574" s="152"/>
      <c r="B574" s="152"/>
      <c r="C574" s="152"/>
      <c r="D574" s="152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  <c r="AA574" s="152"/>
      <c r="AB574" s="152"/>
      <c r="AC574" s="152"/>
      <c r="AD574" s="152"/>
      <c r="AE574" s="152"/>
      <c r="AF574" s="152"/>
      <c r="AG574" s="152"/>
      <c r="AH574" s="152"/>
      <c r="AI574" s="152"/>
      <c r="AJ574" s="152"/>
      <c r="AK574" s="152"/>
      <c r="AL574" s="152"/>
      <c r="AM574" s="152"/>
    </row>
    <row r="575">
      <c r="A575" s="152"/>
      <c r="B575" s="152"/>
      <c r="C575" s="152"/>
      <c r="D575" s="152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  <c r="AA575" s="152"/>
      <c r="AB575" s="152"/>
      <c r="AC575" s="152"/>
      <c r="AD575" s="152"/>
      <c r="AE575" s="152"/>
      <c r="AF575" s="152"/>
      <c r="AG575" s="152"/>
      <c r="AH575" s="152"/>
      <c r="AI575" s="152"/>
      <c r="AJ575" s="152"/>
      <c r="AK575" s="152"/>
      <c r="AL575" s="152"/>
      <c r="AM575" s="152"/>
    </row>
    <row r="576">
      <c r="A576" s="152"/>
      <c r="B576" s="152"/>
      <c r="C576" s="152"/>
      <c r="D576" s="152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  <c r="AA576" s="152"/>
      <c r="AB576" s="152"/>
      <c r="AC576" s="152"/>
      <c r="AD576" s="152"/>
      <c r="AE576" s="152"/>
      <c r="AF576" s="152"/>
      <c r="AG576" s="152"/>
      <c r="AH576" s="152"/>
      <c r="AI576" s="152"/>
      <c r="AJ576" s="152"/>
      <c r="AK576" s="152"/>
      <c r="AL576" s="152"/>
      <c r="AM576" s="152"/>
    </row>
    <row r="577">
      <c r="A577" s="152"/>
      <c r="B577" s="152"/>
      <c r="C577" s="152"/>
      <c r="D577" s="152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  <c r="AA577" s="152"/>
      <c r="AB577" s="152"/>
      <c r="AC577" s="152"/>
      <c r="AD577" s="152"/>
      <c r="AE577" s="152"/>
      <c r="AF577" s="152"/>
      <c r="AG577" s="152"/>
      <c r="AH577" s="152"/>
      <c r="AI577" s="152"/>
      <c r="AJ577" s="152"/>
      <c r="AK577" s="152"/>
      <c r="AL577" s="152"/>
      <c r="AM577" s="152"/>
    </row>
    <row r="578">
      <c r="A578" s="152"/>
      <c r="B578" s="152"/>
      <c r="C578" s="152"/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  <c r="AA578" s="152"/>
      <c r="AB578" s="152"/>
      <c r="AC578" s="152"/>
      <c r="AD578" s="152"/>
      <c r="AE578" s="152"/>
      <c r="AF578" s="152"/>
      <c r="AG578" s="152"/>
      <c r="AH578" s="152"/>
      <c r="AI578" s="152"/>
      <c r="AJ578" s="152"/>
      <c r="AK578" s="152"/>
      <c r="AL578" s="152"/>
      <c r="AM578" s="152"/>
    </row>
    <row r="579">
      <c r="A579" s="152"/>
      <c r="B579" s="152"/>
      <c r="C579" s="152"/>
      <c r="D579" s="152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  <c r="AA579" s="152"/>
      <c r="AB579" s="152"/>
      <c r="AC579" s="152"/>
      <c r="AD579" s="152"/>
      <c r="AE579" s="152"/>
      <c r="AF579" s="152"/>
      <c r="AG579" s="152"/>
      <c r="AH579" s="152"/>
      <c r="AI579" s="152"/>
      <c r="AJ579" s="152"/>
      <c r="AK579" s="152"/>
      <c r="AL579" s="152"/>
      <c r="AM579" s="152"/>
    </row>
    <row r="580">
      <c r="A580" s="152"/>
      <c r="B580" s="152"/>
      <c r="C580" s="152"/>
      <c r="D580" s="152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  <c r="AA580" s="152"/>
      <c r="AB580" s="152"/>
      <c r="AC580" s="152"/>
      <c r="AD580" s="152"/>
      <c r="AE580" s="152"/>
      <c r="AF580" s="152"/>
      <c r="AG580" s="152"/>
      <c r="AH580" s="152"/>
      <c r="AI580" s="152"/>
      <c r="AJ580" s="152"/>
      <c r="AK580" s="152"/>
      <c r="AL580" s="152"/>
      <c r="AM580" s="152"/>
    </row>
    <row r="581">
      <c r="A581" s="152"/>
      <c r="B581" s="152"/>
      <c r="C581" s="152"/>
      <c r="D581" s="152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  <c r="AA581" s="152"/>
      <c r="AB581" s="152"/>
      <c r="AC581" s="152"/>
      <c r="AD581" s="152"/>
      <c r="AE581" s="152"/>
      <c r="AF581" s="152"/>
      <c r="AG581" s="152"/>
      <c r="AH581" s="152"/>
      <c r="AI581" s="152"/>
      <c r="AJ581" s="152"/>
      <c r="AK581" s="152"/>
      <c r="AL581" s="152"/>
      <c r="AM581" s="152"/>
    </row>
    <row r="582">
      <c r="A582" s="152"/>
      <c r="B582" s="152"/>
      <c r="C582" s="152"/>
      <c r="D582" s="152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  <c r="AA582" s="152"/>
      <c r="AB582" s="152"/>
      <c r="AC582" s="152"/>
      <c r="AD582" s="152"/>
      <c r="AE582" s="152"/>
      <c r="AF582" s="152"/>
      <c r="AG582" s="152"/>
      <c r="AH582" s="152"/>
      <c r="AI582" s="152"/>
      <c r="AJ582" s="152"/>
      <c r="AK582" s="152"/>
      <c r="AL582" s="152"/>
      <c r="AM582" s="152"/>
    </row>
    <row r="583">
      <c r="A583" s="152"/>
      <c r="B583" s="152"/>
      <c r="C583" s="152"/>
      <c r="D583" s="152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  <c r="AA583" s="152"/>
      <c r="AB583" s="152"/>
      <c r="AC583" s="152"/>
      <c r="AD583" s="152"/>
      <c r="AE583" s="152"/>
      <c r="AF583" s="152"/>
      <c r="AG583" s="152"/>
      <c r="AH583" s="152"/>
      <c r="AI583" s="152"/>
      <c r="AJ583" s="152"/>
      <c r="AK583" s="152"/>
      <c r="AL583" s="152"/>
      <c r="AM583" s="152"/>
    </row>
    <row r="584">
      <c r="A584" s="152"/>
      <c r="B584" s="152"/>
      <c r="C584" s="152"/>
      <c r="D584" s="152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  <c r="AA584" s="152"/>
      <c r="AB584" s="152"/>
      <c r="AC584" s="152"/>
      <c r="AD584" s="152"/>
      <c r="AE584" s="152"/>
      <c r="AF584" s="152"/>
      <c r="AG584" s="152"/>
      <c r="AH584" s="152"/>
      <c r="AI584" s="152"/>
      <c r="AJ584" s="152"/>
      <c r="AK584" s="152"/>
      <c r="AL584" s="152"/>
      <c r="AM584" s="152"/>
    </row>
    <row r="585">
      <c r="A585" s="152"/>
      <c r="B585" s="152"/>
      <c r="C585" s="152"/>
      <c r="D585" s="152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  <c r="AA585" s="152"/>
      <c r="AB585" s="152"/>
      <c r="AC585" s="152"/>
      <c r="AD585" s="152"/>
      <c r="AE585" s="152"/>
      <c r="AF585" s="152"/>
      <c r="AG585" s="152"/>
      <c r="AH585" s="152"/>
      <c r="AI585" s="152"/>
      <c r="AJ585" s="152"/>
      <c r="AK585" s="152"/>
      <c r="AL585" s="152"/>
      <c r="AM585" s="152"/>
    </row>
    <row r="586">
      <c r="A586" s="152"/>
      <c r="B586" s="152"/>
      <c r="C586" s="152"/>
      <c r="D586" s="152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  <c r="AA586" s="152"/>
      <c r="AB586" s="152"/>
      <c r="AC586" s="152"/>
      <c r="AD586" s="152"/>
      <c r="AE586" s="152"/>
      <c r="AF586" s="152"/>
      <c r="AG586" s="152"/>
      <c r="AH586" s="152"/>
      <c r="AI586" s="152"/>
      <c r="AJ586" s="152"/>
      <c r="AK586" s="152"/>
      <c r="AL586" s="152"/>
      <c r="AM586" s="152"/>
    </row>
    <row r="587">
      <c r="A587" s="152"/>
      <c r="B587" s="152"/>
      <c r="C587" s="152"/>
      <c r="D587" s="152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  <c r="AA587" s="152"/>
      <c r="AB587" s="152"/>
      <c r="AC587" s="152"/>
      <c r="AD587" s="152"/>
      <c r="AE587" s="152"/>
      <c r="AF587" s="152"/>
      <c r="AG587" s="152"/>
      <c r="AH587" s="152"/>
      <c r="AI587" s="152"/>
      <c r="AJ587" s="152"/>
      <c r="AK587" s="152"/>
      <c r="AL587" s="152"/>
      <c r="AM587" s="152"/>
    </row>
    <row r="588">
      <c r="A588" s="152"/>
      <c r="B588" s="152"/>
      <c r="C588" s="152"/>
      <c r="D588" s="152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  <c r="AA588" s="152"/>
      <c r="AB588" s="152"/>
      <c r="AC588" s="152"/>
      <c r="AD588" s="152"/>
      <c r="AE588" s="152"/>
      <c r="AF588" s="152"/>
      <c r="AG588" s="152"/>
      <c r="AH588" s="152"/>
      <c r="AI588" s="152"/>
      <c r="AJ588" s="152"/>
      <c r="AK588" s="152"/>
      <c r="AL588" s="152"/>
      <c r="AM588" s="152"/>
    </row>
    <row r="589">
      <c r="A589" s="152"/>
      <c r="B589" s="152"/>
      <c r="C589" s="152"/>
      <c r="D589" s="152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  <c r="AA589" s="152"/>
      <c r="AB589" s="152"/>
      <c r="AC589" s="152"/>
      <c r="AD589" s="152"/>
      <c r="AE589" s="152"/>
      <c r="AF589" s="152"/>
      <c r="AG589" s="152"/>
      <c r="AH589" s="152"/>
      <c r="AI589" s="152"/>
      <c r="AJ589" s="152"/>
      <c r="AK589" s="152"/>
      <c r="AL589" s="152"/>
      <c r="AM589" s="152"/>
    </row>
    <row r="590">
      <c r="A590" s="152"/>
      <c r="B590" s="152"/>
      <c r="C590" s="152"/>
      <c r="D590" s="152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  <c r="AA590" s="152"/>
      <c r="AB590" s="152"/>
      <c r="AC590" s="152"/>
      <c r="AD590" s="152"/>
      <c r="AE590" s="152"/>
      <c r="AF590" s="152"/>
      <c r="AG590" s="152"/>
      <c r="AH590" s="152"/>
      <c r="AI590" s="152"/>
      <c r="AJ590" s="152"/>
      <c r="AK590" s="152"/>
      <c r="AL590" s="152"/>
      <c r="AM590" s="152"/>
    </row>
    <row r="591">
      <c r="A591" s="152"/>
      <c r="B591" s="152"/>
      <c r="C591" s="152"/>
      <c r="D591" s="152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  <c r="AA591" s="152"/>
      <c r="AB591" s="152"/>
      <c r="AC591" s="152"/>
      <c r="AD591" s="152"/>
      <c r="AE591" s="152"/>
      <c r="AF591" s="152"/>
      <c r="AG591" s="152"/>
      <c r="AH591" s="152"/>
      <c r="AI591" s="152"/>
      <c r="AJ591" s="152"/>
      <c r="AK591" s="152"/>
      <c r="AL591" s="152"/>
      <c r="AM591" s="152"/>
    </row>
    <row r="592">
      <c r="A592" s="152"/>
      <c r="B592" s="152"/>
      <c r="C592" s="152"/>
      <c r="D592" s="152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  <c r="AA592" s="152"/>
      <c r="AB592" s="152"/>
      <c r="AC592" s="152"/>
      <c r="AD592" s="152"/>
      <c r="AE592" s="152"/>
      <c r="AF592" s="152"/>
      <c r="AG592" s="152"/>
      <c r="AH592" s="152"/>
      <c r="AI592" s="152"/>
      <c r="AJ592" s="152"/>
      <c r="AK592" s="152"/>
      <c r="AL592" s="152"/>
      <c r="AM592" s="152"/>
    </row>
    <row r="593">
      <c r="A593" s="152"/>
      <c r="B593" s="152"/>
      <c r="C593" s="152"/>
      <c r="D593" s="152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  <c r="AA593" s="152"/>
      <c r="AB593" s="152"/>
      <c r="AC593" s="152"/>
      <c r="AD593" s="152"/>
      <c r="AE593" s="152"/>
      <c r="AF593" s="152"/>
      <c r="AG593" s="152"/>
      <c r="AH593" s="152"/>
      <c r="AI593" s="152"/>
      <c r="AJ593" s="152"/>
      <c r="AK593" s="152"/>
      <c r="AL593" s="152"/>
      <c r="AM593" s="152"/>
    </row>
    <row r="594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52"/>
      <c r="AF594" s="152"/>
      <c r="AG594" s="152"/>
      <c r="AH594" s="152"/>
      <c r="AI594" s="152"/>
      <c r="AJ594" s="152"/>
      <c r="AK594" s="152"/>
      <c r="AL594" s="152"/>
      <c r="AM594" s="152"/>
    </row>
    <row r="595">
      <c r="A595" s="152"/>
      <c r="B595" s="152"/>
      <c r="C595" s="152"/>
      <c r="D595" s="152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  <c r="AA595" s="152"/>
      <c r="AB595" s="152"/>
      <c r="AC595" s="152"/>
      <c r="AD595" s="152"/>
      <c r="AE595" s="152"/>
      <c r="AF595" s="152"/>
      <c r="AG595" s="152"/>
      <c r="AH595" s="152"/>
      <c r="AI595" s="152"/>
      <c r="AJ595" s="152"/>
      <c r="AK595" s="152"/>
      <c r="AL595" s="152"/>
      <c r="AM595" s="152"/>
    </row>
    <row r="596">
      <c r="A596" s="152"/>
      <c r="B596" s="152"/>
      <c r="C596" s="152"/>
      <c r="D596" s="152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  <c r="AA596" s="152"/>
      <c r="AB596" s="152"/>
      <c r="AC596" s="152"/>
      <c r="AD596" s="152"/>
      <c r="AE596" s="152"/>
      <c r="AF596" s="152"/>
      <c r="AG596" s="152"/>
      <c r="AH596" s="152"/>
      <c r="AI596" s="152"/>
      <c r="AJ596" s="152"/>
      <c r="AK596" s="152"/>
      <c r="AL596" s="152"/>
      <c r="AM596" s="152"/>
    </row>
    <row r="597">
      <c r="A597" s="152"/>
      <c r="B597" s="152"/>
      <c r="C597" s="152"/>
      <c r="D597" s="152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  <c r="AA597" s="152"/>
      <c r="AB597" s="152"/>
      <c r="AC597" s="152"/>
      <c r="AD597" s="152"/>
      <c r="AE597" s="152"/>
      <c r="AF597" s="152"/>
      <c r="AG597" s="152"/>
      <c r="AH597" s="152"/>
      <c r="AI597" s="152"/>
      <c r="AJ597" s="152"/>
      <c r="AK597" s="152"/>
      <c r="AL597" s="152"/>
      <c r="AM597" s="152"/>
    </row>
    <row r="598">
      <c r="A598" s="152"/>
      <c r="B598" s="152"/>
      <c r="C598" s="152"/>
      <c r="D598" s="152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  <c r="AA598" s="152"/>
      <c r="AB598" s="152"/>
      <c r="AC598" s="152"/>
      <c r="AD598" s="152"/>
      <c r="AE598" s="152"/>
      <c r="AF598" s="152"/>
      <c r="AG598" s="152"/>
      <c r="AH598" s="152"/>
      <c r="AI598" s="152"/>
      <c r="AJ598" s="152"/>
      <c r="AK598" s="152"/>
      <c r="AL598" s="152"/>
      <c r="AM598" s="152"/>
    </row>
    <row r="599">
      <c r="A599" s="152"/>
      <c r="B599" s="152"/>
      <c r="C599" s="152"/>
      <c r="D599" s="152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  <c r="AA599" s="152"/>
      <c r="AB599" s="152"/>
      <c r="AC599" s="152"/>
      <c r="AD599" s="152"/>
      <c r="AE599" s="152"/>
      <c r="AF599" s="152"/>
      <c r="AG599" s="152"/>
      <c r="AH599" s="152"/>
      <c r="AI599" s="152"/>
      <c r="AJ599" s="152"/>
      <c r="AK599" s="152"/>
      <c r="AL599" s="152"/>
      <c r="AM599" s="152"/>
    </row>
    <row r="600">
      <c r="A600" s="152"/>
      <c r="B600" s="152"/>
      <c r="C600" s="152"/>
      <c r="D600" s="152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  <c r="AA600" s="152"/>
      <c r="AB600" s="152"/>
      <c r="AC600" s="152"/>
      <c r="AD600" s="152"/>
      <c r="AE600" s="152"/>
      <c r="AF600" s="152"/>
      <c r="AG600" s="152"/>
      <c r="AH600" s="152"/>
      <c r="AI600" s="152"/>
      <c r="AJ600" s="152"/>
      <c r="AK600" s="152"/>
      <c r="AL600" s="152"/>
      <c r="AM600" s="152"/>
    </row>
    <row r="601">
      <c r="A601" s="152"/>
      <c r="B601" s="152"/>
      <c r="C601" s="152"/>
      <c r="D601" s="152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  <c r="AA601" s="152"/>
      <c r="AB601" s="152"/>
      <c r="AC601" s="152"/>
      <c r="AD601" s="152"/>
      <c r="AE601" s="152"/>
      <c r="AF601" s="152"/>
      <c r="AG601" s="152"/>
      <c r="AH601" s="152"/>
      <c r="AI601" s="152"/>
      <c r="AJ601" s="152"/>
      <c r="AK601" s="152"/>
      <c r="AL601" s="152"/>
      <c r="AM601" s="152"/>
    </row>
    <row r="602">
      <c r="A602" s="152"/>
      <c r="B602" s="152"/>
      <c r="C602" s="152"/>
      <c r="D602" s="152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  <c r="AA602" s="152"/>
      <c r="AB602" s="152"/>
      <c r="AC602" s="152"/>
      <c r="AD602" s="152"/>
      <c r="AE602" s="152"/>
      <c r="AF602" s="152"/>
      <c r="AG602" s="152"/>
      <c r="AH602" s="152"/>
      <c r="AI602" s="152"/>
      <c r="AJ602" s="152"/>
      <c r="AK602" s="152"/>
      <c r="AL602" s="152"/>
      <c r="AM602" s="152"/>
    </row>
    <row r="603">
      <c r="A603" s="152"/>
      <c r="B603" s="152"/>
      <c r="C603" s="152"/>
      <c r="D603" s="152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  <c r="AA603" s="152"/>
      <c r="AB603" s="152"/>
      <c r="AC603" s="152"/>
      <c r="AD603" s="152"/>
      <c r="AE603" s="152"/>
      <c r="AF603" s="152"/>
      <c r="AG603" s="152"/>
      <c r="AH603" s="152"/>
      <c r="AI603" s="152"/>
      <c r="AJ603" s="152"/>
      <c r="AK603" s="152"/>
      <c r="AL603" s="152"/>
      <c r="AM603" s="152"/>
    </row>
    <row r="604">
      <c r="A604" s="152"/>
      <c r="B604" s="152"/>
      <c r="C604" s="152"/>
      <c r="D604" s="152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  <c r="AA604" s="152"/>
      <c r="AB604" s="152"/>
      <c r="AC604" s="152"/>
      <c r="AD604" s="152"/>
      <c r="AE604" s="152"/>
      <c r="AF604" s="152"/>
      <c r="AG604" s="152"/>
      <c r="AH604" s="152"/>
      <c r="AI604" s="152"/>
      <c r="AJ604" s="152"/>
      <c r="AK604" s="152"/>
      <c r="AL604" s="152"/>
      <c r="AM604" s="152"/>
    </row>
    <row r="605">
      <c r="A605" s="152"/>
      <c r="B605" s="152"/>
      <c r="C605" s="152"/>
      <c r="D605" s="152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  <c r="AA605" s="152"/>
      <c r="AB605" s="152"/>
      <c r="AC605" s="152"/>
      <c r="AD605" s="152"/>
      <c r="AE605" s="152"/>
      <c r="AF605" s="152"/>
      <c r="AG605" s="152"/>
      <c r="AH605" s="152"/>
      <c r="AI605" s="152"/>
      <c r="AJ605" s="152"/>
      <c r="AK605" s="152"/>
      <c r="AL605" s="152"/>
      <c r="AM605" s="152"/>
    </row>
    <row r="606">
      <c r="A606" s="152"/>
      <c r="B606" s="152"/>
      <c r="C606" s="152"/>
      <c r="D606" s="152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  <c r="AA606" s="152"/>
      <c r="AB606" s="152"/>
      <c r="AC606" s="152"/>
      <c r="AD606" s="152"/>
      <c r="AE606" s="152"/>
      <c r="AF606" s="152"/>
      <c r="AG606" s="152"/>
      <c r="AH606" s="152"/>
      <c r="AI606" s="152"/>
      <c r="AJ606" s="152"/>
      <c r="AK606" s="152"/>
      <c r="AL606" s="152"/>
      <c r="AM606" s="152"/>
    </row>
    <row r="607">
      <c r="A607" s="152"/>
      <c r="B607" s="152"/>
      <c r="C607" s="152"/>
      <c r="D607" s="152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  <c r="AA607" s="152"/>
      <c r="AB607" s="152"/>
      <c r="AC607" s="152"/>
      <c r="AD607" s="152"/>
      <c r="AE607" s="152"/>
      <c r="AF607" s="152"/>
      <c r="AG607" s="152"/>
      <c r="AH607" s="152"/>
      <c r="AI607" s="152"/>
      <c r="AJ607" s="152"/>
      <c r="AK607" s="152"/>
      <c r="AL607" s="152"/>
      <c r="AM607" s="152"/>
    </row>
    <row r="608">
      <c r="A608" s="152"/>
      <c r="B608" s="152"/>
      <c r="C608" s="152"/>
      <c r="D608" s="152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  <c r="AA608" s="152"/>
      <c r="AB608" s="152"/>
      <c r="AC608" s="152"/>
      <c r="AD608" s="152"/>
      <c r="AE608" s="152"/>
      <c r="AF608" s="152"/>
      <c r="AG608" s="152"/>
      <c r="AH608" s="152"/>
      <c r="AI608" s="152"/>
      <c r="AJ608" s="152"/>
      <c r="AK608" s="152"/>
      <c r="AL608" s="152"/>
      <c r="AM608" s="152"/>
    </row>
    <row r="609">
      <c r="A609" s="152"/>
      <c r="B609" s="152"/>
      <c r="C609" s="152"/>
      <c r="D609" s="152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  <c r="AA609" s="152"/>
      <c r="AB609" s="152"/>
      <c r="AC609" s="152"/>
      <c r="AD609" s="152"/>
      <c r="AE609" s="152"/>
      <c r="AF609" s="152"/>
      <c r="AG609" s="152"/>
      <c r="AH609" s="152"/>
      <c r="AI609" s="152"/>
      <c r="AJ609" s="152"/>
      <c r="AK609" s="152"/>
      <c r="AL609" s="152"/>
      <c r="AM609" s="152"/>
    </row>
    <row r="610">
      <c r="A610" s="152"/>
      <c r="B610" s="152"/>
      <c r="C610" s="152"/>
      <c r="D610" s="152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  <c r="AA610" s="152"/>
      <c r="AB610" s="152"/>
      <c r="AC610" s="152"/>
      <c r="AD610" s="152"/>
      <c r="AE610" s="152"/>
      <c r="AF610" s="152"/>
      <c r="AG610" s="152"/>
      <c r="AH610" s="152"/>
      <c r="AI610" s="152"/>
      <c r="AJ610" s="152"/>
      <c r="AK610" s="152"/>
      <c r="AL610" s="152"/>
      <c r="AM610" s="152"/>
    </row>
    <row r="611">
      <c r="A611" s="152"/>
      <c r="B611" s="152"/>
      <c r="C611" s="152"/>
      <c r="D611" s="152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  <c r="AA611" s="152"/>
      <c r="AB611" s="152"/>
      <c r="AC611" s="152"/>
      <c r="AD611" s="152"/>
      <c r="AE611" s="152"/>
      <c r="AF611" s="152"/>
      <c r="AG611" s="152"/>
      <c r="AH611" s="152"/>
      <c r="AI611" s="152"/>
      <c r="AJ611" s="152"/>
      <c r="AK611" s="152"/>
      <c r="AL611" s="152"/>
      <c r="AM611" s="152"/>
    </row>
    <row r="612">
      <c r="A612" s="152"/>
      <c r="B612" s="152"/>
      <c r="C612" s="152"/>
      <c r="D612" s="152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  <c r="AA612" s="152"/>
      <c r="AB612" s="152"/>
      <c r="AC612" s="152"/>
      <c r="AD612" s="152"/>
      <c r="AE612" s="152"/>
      <c r="AF612" s="152"/>
      <c r="AG612" s="152"/>
      <c r="AH612" s="152"/>
      <c r="AI612" s="152"/>
      <c r="AJ612" s="152"/>
      <c r="AK612" s="152"/>
      <c r="AL612" s="152"/>
      <c r="AM612" s="152"/>
    </row>
    <row r="613">
      <c r="A613" s="152"/>
      <c r="B613" s="152"/>
      <c r="C613" s="152"/>
      <c r="D613" s="152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  <c r="AA613" s="152"/>
      <c r="AB613" s="152"/>
      <c r="AC613" s="152"/>
      <c r="AD613" s="152"/>
      <c r="AE613" s="152"/>
      <c r="AF613" s="152"/>
      <c r="AG613" s="152"/>
      <c r="AH613" s="152"/>
      <c r="AI613" s="152"/>
      <c r="AJ613" s="152"/>
      <c r="AK613" s="152"/>
      <c r="AL613" s="152"/>
      <c r="AM613" s="152"/>
    </row>
    <row r="614">
      <c r="A614" s="152"/>
      <c r="B614" s="152"/>
      <c r="C614" s="152"/>
      <c r="D614" s="152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  <c r="AA614" s="152"/>
      <c r="AB614" s="152"/>
      <c r="AC614" s="152"/>
      <c r="AD614" s="152"/>
      <c r="AE614" s="152"/>
      <c r="AF614" s="152"/>
      <c r="AG614" s="152"/>
      <c r="AH614" s="152"/>
      <c r="AI614" s="152"/>
      <c r="AJ614" s="152"/>
      <c r="AK614" s="152"/>
      <c r="AL614" s="152"/>
      <c r="AM614" s="152"/>
    </row>
    <row r="615">
      <c r="A615" s="152"/>
      <c r="B615" s="152"/>
      <c r="C615" s="152"/>
      <c r="D615" s="152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  <c r="AA615" s="152"/>
      <c r="AB615" s="152"/>
      <c r="AC615" s="152"/>
      <c r="AD615" s="152"/>
      <c r="AE615" s="152"/>
      <c r="AF615" s="152"/>
      <c r="AG615" s="152"/>
      <c r="AH615" s="152"/>
      <c r="AI615" s="152"/>
      <c r="AJ615" s="152"/>
      <c r="AK615" s="152"/>
      <c r="AL615" s="152"/>
      <c r="AM615" s="152"/>
    </row>
    <row r="616">
      <c r="A616" s="152"/>
      <c r="B616" s="152"/>
      <c r="C616" s="152"/>
      <c r="D616" s="152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  <c r="AA616" s="152"/>
      <c r="AB616" s="152"/>
      <c r="AC616" s="152"/>
      <c r="AD616" s="152"/>
      <c r="AE616" s="152"/>
      <c r="AF616" s="152"/>
      <c r="AG616" s="152"/>
      <c r="AH616" s="152"/>
      <c r="AI616" s="152"/>
      <c r="AJ616" s="152"/>
      <c r="AK616" s="152"/>
      <c r="AL616" s="152"/>
      <c r="AM616" s="152"/>
    </row>
    <row r="617">
      <c r="A617" s="152"/>
      <c r="B617" s="152"/>
      <c r="C617" s="152"/>
      <c r="D617" s="152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  <c r="AA617" s="152"/>
      <c r="AB617" s="152"/>
      <c r="AC617" s="152"/>
      <c r="AD617" s="152"/>
      <c r="AE617" s="152"/>
      <c r="AF617" s="152"/>
      <c r="AG617" s="152"/>
      <c r="AH617" s="152"/>
      <c r="AI617" s="152"/>
      <c r="AJ617" s="152"/>
      <c r="AK617" s="152"/>
      <c r="AL617" s="152"/>
      <c r="AM617" s="152"/>
    </row>
    <row r="618">
      <c r="A618" s="152"/>
      <c r="B618" s="152"/>
      <c r="C618" s="152"/>
      <c r="D618" s="152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  <c r="AA618" s="152"/>
      <c r="AB618" s="152"/>
      <c r="AC618" s="152"/>
      <c r="AD618" s="152"/>
      <c r="AE618" s="152"/>
      <c r="AF618" s="152"/>
      <c r="AG618" s="152"/>
      <c r="AH618" s="152"/>
      <c r="AI618" s="152"/>
      <c r="AJ618" s="152"/>
      <c r="AK618" s="152"/>
      <c r="AL618" s="152"/>
      <c r="AM618" s="152"/>
    </row>
    <row r="619">
      <c r="A619" s="152"/>
      <c r="B619" s="152"/>
      <c r="C619" s="152"/>
      <c r="D619" s="152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  <c r="AA619" s="152"/>
      <c r="AB619" s="152"/>
      <c r="AC619" s="152"/>
      <c r="AD619" s="152"/>
      <c r="AE619" s="152"/>
      <c r="AF619" s="152"/>
      <c r="AG619" s="152"/>
      <c r="AH619" s="152"/>
      <c r="AI619" s="152"/>
      <c r="AJ619" s="152"/>
      <c r="AK619" s="152"/>
      <c r="AL619" s="152"/>
      <c r="AM619" s="152"/>
    </row>
    <row r="620">
      <c r="A620" s="152"/>
      <c r="B620" s="152"/>
      <c r="C620" s="152"/>
      <c r="D620" s="152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  <c r="AA620" s="152"/>
      <c r="AB620" s="152"/>
      <c r="AC620" s="152"/>
      <c r="AD620" s="152"/>
      <c r="AE620" s="152"/>
      <c r="AF620" s="152"/>
      <c r="AG620" s="152"/>
      <c r="AH620" s="152"/>
      <c r="AI620" s="152"/>
      <c r="AJ620" s="152"/>
      <c r="AK620" s="152"/>
      <c r="AL620" s="152"/>
      <c r="AM620" s="152"/>
    </row>
    <row r="621">
      <c r="A621" s="152"/>
      <c r="B621" s="152"/>
      <c r="C621" s="152"/>
      <c r="D621" s="152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  <c r="AA621" s="152"/>
      <c r="AB621" s="152"/>
      <c r="AC621" s="152"/>
      <c r="AD621" s="152"/>
      <c r="AE621" s="152"/>
      <c r="AF621" s="152"/>
      <c r="AG621" s="152"/>
      <c r="AH621" s="152"/>
      <c r="AI621" s="152"/>
      <c r="AJ621" s="152"/>
      <c r="AK621" s="152"/>
      <c r="AL621" s="152"/>
      <c r="AM621" s="152"/>
    </row>
    <row r="622">
      <c r="A622" s="152"/>
      <c r="B622" s="152"/>
      <c r="C622" s="152"/>
      <c r="D622" s="152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  <c r="AA622" s="152"/>
      <c r="AB622" s="152"/>
      <c r="AC622" s="152"/>
      <c r="AD622" s="152"/>
      <c r="AE622" s="152"/>
      <c r="AF622" s="152"/>
      <c r="AG622" s="152"/>
      <c r="AH622" s="152"/>
      <c r="AI622" s="152"/>
      <c r="AJ622" s="152"/>
      <c r="AK622" s="152"/>
      <c r="AL622" s="152"/>
      <c r="AM622" s="152"/>
    </row>
    <row r="623">
      <c r="A623" s="152"/>
      <c r="B623" s="152"/>
      <c r="C623" s="152"/>
      <c r="D623" s="152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  <c r="AA623" s="152"/>
      <c r="AB623" s="152"/>
      <c r="AC623" s="152"/>
      <c r="AD623" s="152"/>
      <c r="AE623" s="152"/>
      <c r="AF623" s="152"/>
      <c r="AG623" s="152"/>
      <c r="AH623" s="152"/>
      <c r="AI623" s="152"/>
      <c r="AJ623" s="152"/>
      <c r="AK623" s="152"/>
      <c r="AL623" s="152"/>
      <c r="AM623" s="152"/>
    </row>
    <row r="624">
      <c r="A624" s="152"/>
      <c r="B624" s="152"/>
      <c r="C624" s="152"/>
      <c r="D624" s="152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  <c r="AA624" s="152"/>
      <c r="AB624" s="152"/>
      <c r="AC624" s="152"/>
      <c r="AD624" s="152"/>
      <c r="AE624" s="152"/>
      <c r="AF624" s="152"/>
      <c r="AG624" s="152"/>
      <c r="AH624" s="152"/>
      <c r="AI624" s="152"/>
      <c r="AJ624" s="152"/>
      <c r="AK624" s="152"/>
      <c r="AL624" s="152"/>
      <c r="AM624" s="152"/>
    </row>
    <row r="625">
      <c r="A625" s="152"/>
      <c r="B625" s="152"/>
      <c r="C625" s="152"/>
      <c r="D625" s="152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  <c r="AA625" s="152"/>
      <c r="AB625" s="152"/>
      <c r="AC625" s="152"/>
      <c r="AD625" s="152"/>
      <c r="AE625" s="152"/>
      <c r="AF625" s="152"/>
      <c r="AG625" s="152"/>
      <c r="AH625" s="152"/>
      <c r="AI625" s="152"/>
      <c r="AJ625" s="152"/>
      <c r="AK625" s="152"/>
      <c r="AL625" s="152"/>
      <c r="AM625" s="152"/>
    </row>
    <row r="626">
      <c r="A626" s="152"/>
      <c r="B626" s="152"/>
      <c r="C626" s="152"/>
      <c r="D626" s="152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  <c r="AA626" s="152"/>
      <c r="AB626" s="152"/>
      <c r="AC626" s="152"/>
      <c r="AD626" s="152"/>
      <c r="AE626" s="152"/>
      <c r="AF626" s="152"/>
      <c r="AG626" s="152"/>
      <c r="AH626" s="152"/>
      <c r="AI626" s="152"/>
      <c r="AJ626" s="152"/>
      <c r="AK626" s="152"/>
      <c r="AL626" s="152"/>
      <c r="AM626" s="152"/>
    </row>
    <row r="627">
      <c r="A627" s="152"/>
      <c r="B627" s="152"/>
      <c r="C627" s="152"/>
      <c r="D627" s="152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  <c r="AA627" s="152"/>
      <c r="AB627" s="152"/>
      <c r="AC627" s="152"/>
      <c r="AD627" s="152"/>
      <c r="AE627" s="152"/>
      <c r="AF627" s="152"/>
      <c r="AG627" s="152"/>
      <c r="AH627" s="152"/>
      <c r="AI627" s="152"/>
      <c r="AJ627" s="152"/>
      <c r="AK627" s="152"/>
      <c r="AL627" s="152"/>
      <c r="AM627" s="152"/>
    </row>
    <row r="628">
      <c r="A628" s="152"/>
      <c r="B628" s="152"/>
      <c r="C628" s="152"/>
      <c r="D628" s="152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  <c r="AA628" s="152"/>
      <c r="AB628" s="152"/>
      <c r="AC628" s="152"/>
      <c r="AD628" s="152"/>
      <c r="AE628" s="152"/>
      <c r="AF628" s="152"/>
      <c r="AG628" s="152"/>
      <c r="AH628" s="152"/>
      <c r="AI628" s="152"/>
      <c r="AJ628" s="152"/>
      <c r="AK628" s="152"/>
      <c r="AL628" s="152"/>
      <c r="AM628" s="152"/>
    </row>
    <row r="629">
      <c r="A629" s="152"/>
      <c r="B629" s="152"/>
      <c r="C629" s="152"/>
      <c r="D629" s="152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  <c r="AA629" s="152"/>
      <c r="AB629" s="152"/>
      <c r="AC629" s="152"/>
      <c r="AD629" s="152"/>
      <c r="AE629" s="152"/>
      <c r="AF629" s="152"/>
      <c r="AG629" s="152"/>
      <c r="AH629" s="152"/>
      <c r="AI629" s="152"/>
      <c r="AJ629" s="152"/>
      <c r="AK629" s="152"/>
      <c r="AL629" s="152"/>
      <c r="AM629" s="152"/>
    </row>
    <row r="630">
      <c r="A630" s="152"/>
      <c r="B630" s="152"/>
      <c r="C630" s="152"/>
      <c r="D630" s="152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  <c r="AA630" s="152"/>
      <c r="AB630" s="152"/>
      <c r="AC630" s="152"/>
      <c r="AD630" s="152"/>
      <c r="AE630" s="152"/>
      <c r="AF630" s="152"/>
      <c r="AG630" s="152"/>
      <c r="AH630" s="152"/>
      <c r="AI630" s="152"/>
      <c r="AJ630" s="152"/>
      <c r="AK630" s="152"/>
      <c r="AL630" s="152"/>
      <c r="AM630" s="152"/>
    </row>
    <row r="631">
      <c r="A631" s="152"/>
      <c r="B631" s="152"/>
      <c r="C631" s="152"/>
      <c r="D631" s="152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  <c r="AA631" s="152"/>
      <c r="AB631" s="152"/>
      <c r="AC631" s="152"/>
      <c r="AD631" s="152"/>
      <c r="AE631" s="152"/>
      <c r="AF631" s="152"/>
      <c r="AG631" s="152"/>
      <c r="AH631" s="152"/>
      <c r="AI631" s="152"/>
      <c r="AJ631" s="152"/>
      <c r="AK631" s="152"/>
      <c r="AL631" s="152"/>
      <c r="AM631" s="152"/>
    </row>
    <row r="632">
      <c r="A632" s="152"/>
      <c r="B632" s="152"/>
      <c r="C632" s="152"/>
      <c r="D632" s="152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  <c r="AA632" s="152"/>
      <c r="AB632" s="152"/>
      <c r="AC632" s="152"/>
      <c r="AD632" s="152"/>
      <c r="AE632" s="152"/>
      <c r="AF632" s="152"/>
      <c r="AG632" s="152"/>
      <c r="AH632" s="152"/>
      <c r="AI632" s="152"/>
      <c r="AJ632" s="152"/>
      <c r="AK632" s="152"/>
      <c r="AL632" s="152"/>
      <c r="AM632" s="152"/>
    </row>
    <row r="633">
      <c r="A633" s="152"/>
      <c r="B633" s="152"/>
      <c r="C633" s="152"/>
      <c r="D633" s="152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  <c r="AA633" s="152"/>
      <c r="AB633" s="152"/>
      <c r="AC633" s="152"/>
      <c r="AD633" s="152"/>
      <c r="AE633" s="152"/>
      <c r="AF633" s="152"/>
      <c r="AG633" s="152"/>
      <c r="AH633" s="152"/>
      <c r="AI633" s="152"/>
      <c r="AJ633" s="152"/>
      <c r="AK633" s="152"/>
      <c r="AL633" s="152"/>
      <c r="AM633" s="152"/>
    </row>
    <row r="634">
      <c r="A634" s="152"/>
      <c r="B634" s="152"/>
      <c r="C634" s="152"/>
      <c r="D634" s="152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  <c r="AA634" s="152"/>
      <c r="AB634" s="152"/>
      <c r="AC634" s="152"/>
      <c r="AD634" s="152"/>
      <c r="AE634" s="152"/>
      <c r="AF634" s="152"/>
      <c r="AG634" s="152"/>
      <c r="AH634" s="152"/>
      <c r="AI634" s="152"/>
      <c r="AJ634" s="152"/>
      <c r="AK634" s="152"/>
      <c r="AL634" s="152"/>
      <c r="AM634" s="152"/>
    </row>
    <row r="635">
      <c r="A635" s="152"/>
      <c r="B635" s="152"/>
      <c r="C635" s="152"/>
      <c r="D635" s="152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  <c r="AA635" s="152"/>
      <c r="AB635" s="152"/>
      <c r="AC635" s="152"/>
      <c r="AD635" s="152"/>
      <c r="AE635" s="152"/>
      <c r="AF635" s="152"/>
      <c r="AG635" s="152"/>
      <c r="AH635" s="152"/>
      <c r="AI635" s="152"/>
      <c r="AJ635" s="152"/>
      <c r="AK635" s="152"/>
      <c r="AL635" s="152"/>
      <c r="AM635" s="152"/>
    </row>
    <row r="636">
      <c r="A636" s="152"/>
      <c r="B636" s="152"/>
      <c r="C636" s="152"/>
      <c r="D636" s="152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  <c r="AA636" s="152"/>
      <c r="AB636" s="152"/>
      <c r="AC636" s="152"/>
      <c r="AD636" s="152"/>
      <c r="AE636" s="152"/>
      <c r="AF636" s="152"/>
      <c r="AG636" s="152"/>
      <c r="AH636" s="152"/>
      <c r="AI636" s="152"/>
      <c r="AJ636" s="152"/>
      <c r="AK636" s="152"/>
      <c r="AL636" s="152"/>
      <c r="AM636" s="152"/>
    </row>
    <row r="637">
      <c r="A637" s="152"/>
      <c r="B637" s="152"/>
      <c r="C637" s="152"/>
      <c r="D637" s="152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  <c r="AA637" s="152"/>
      <c r="AB637" s="152"/>
      <c r="AC637" s="152"/>
      <c r="AD637" s="152"/>
      <c r="AE637" s="152"/>
      <c r="AF637" s="152"/>
      <c r="AG637" s="152"/>
      <c r="AH637" s="152"/>
      <c r="AI637" s="152"/>
      <c r="AJ637" s="152"/>
      <c r="AK637" s="152"/>
      <c r="AL637" s="152"/>
      <c r="AM637" s="152"/>
    </row>
    <row r="638">
      <c r="A638" s="152"/>
      <c r="B638" s="152"/>
      <c r="C638" s="152"/>
      <c r="D638" s="152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  <c r="AA638" s="152"/>
      <c r="AB638" s="152"/>
      <c r="AC638" s="152"/>
      <c r="AD638" s="152"/>
      <c r="AE638" s="152"/>
      <c r="AF638" s="152"/>
      <c r="AG638" s="152"/>
      <c r="AH638" s="152"/>
      <c r="AI638" s="152"/>
      <c r="AJ638" s="152"/>
      <c r="AK638" s="152"/>
      <c r="AL638" s="152"/>
      <c r="AM638" s="152"/>
    </row>
    <row r="639">
      <c r="A639" s="152"/>
      <c r="B639" s="152"/>
      <c r="C639" s="152"/>
      <c r="D639" s="152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  <c r="AA639" s="152"/>
      <c r="AB639" s="152"/>
      <c r="AC639" s="152"/>
      <c r="AD639" s="152"/>
      <c r="AE639" s="152"/>
      <c r="AF639" s="152"/>
      <c r="AG639" s="152"/>
      <c r="AH639" s="152"/>
      <c r="AI639" s="152"/>
      <c r="AJ639" s="152"/>
      <c r="AK639" s="152"/>
      <c r="AL639" s="152"/>
      <c r="AM639" s="152"/>
    </row>
    <row r="640">
      <c r="A640" s="152"/>
      <c r="B640" s="152"/>
      <c r="C640" s="152"/>
      <c r="D640" s="152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  <c r="AA640" s="152"/>
      <c r="AB640" s="152"/>
      <c r="AC640" s="152"/>
      <c r="AD640" s="152"/>
      <c r="AE640" s="152"/>
      <c r="AF640" s="152"/>
      <c r="AG640" s="152"/>
      <c r="AH640" s="152"/>
      <c r="AI640" s="152"/>
      <c r="AJ640" s="152"/>
      <c r="AK640" s="152"/>
      <c r="AL640" s="152"/>
      <c r="AM640" s="152"/>
    </row>
    <row r="641">
      <c r="A641" s="152"/>
      <c r="B641" s="152"/>
      <c r="C641" s="152"/>
      <c r="D641" s="152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  <c r="AA641" s="152"/>
      <c r="AB641" s="152"/>
      <c r="AC641" s="152"/>
      <c r="AD641" s="152"/>
      <c r="AE641" s="152"/>
      <c r="AF641" s="152"/>
      <c r="AG641" s="152"/>
      <c r="AH641" s="152"/>
      <c r="AI641" s="152"/>
      <c r="AJ641" s="152"/>
      <c r="AK641" s="152"/>
      <c r="AL641" s="152"/>
      <c r="AM641" s="152"/>
    </row>
    <row r="642">
      <c r="A642" s="152"/>
      <c r="B642" s="152"/>
      <c r="C642" s="152"/>
      <c r="D642" s="152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  <c r="AA642" s="152"/>
      <c r="AB642" s="152"/>
      <c r="AC642" s="152"/>
      <c r="AD642" s="152"/>
      <c r="AE642" s="152"/>
      <c r="AF642" s="152"/>
      <c r="AG642" s="152"/>
      <c r="AH642" s="152"/>
      <c r="AI642" s="152"/>
      <c r="AJ642" s="152"/>
      <c r="AK642" s="152"/>
      <c r="AL642" s="152"/>
      <c r="AM642" s="152"/>
    </row>
    <row r="643">
      <c r="A643" s="152"/>
      <c r="B643" s="152"/>
      <c r="C643" s="152"/>
      <c r="D643" s="152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  <c r="AA643" s="152"/>
      <c r="AB643" s="152"/>
      <c r="AC643" s="152"/>
      <c r="AD643" s="152"/>
      <c r="AE643" s="152"/>
      <c r="AF643" s="152"/>
      <c r="AG643" s="152"/>
      <c r="AH643" s="152"/>
      <c r="AI643" s="152"/>
      <c r="AJ643" s="152"/>
      <c r="AK643" s="152"/>
      <c r="AL643" s="152"/>
      <c r="AM643" s="152"/>
    </row>
    <row r="644">
      <c r="A644" s="152"/>
      <c r="B644" s="152"/>
      <c r="C644" s="152"/>
      <c r="D644" s="152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  <c r="AA644" s="152"/>
      <c r="AB644" s="152"/>
      <c r="AC644" s="152"/>
      <c r="AD644" s="152"/>
      <c r="AE644" s="152"/>
      <c r="AF644" s="152"/>
      <c r="AG644" s="152"/>
      <c r="AH644" s="152"/>
      <c r="AI644" s="152"/>
      <c r="AJ644" s="152"/>
      <c r="AK644" s="152"/>
      <c r="AL644" s="152"/>
      <c r="AM644" s="152"/>
    </row>
    <row r="645">
      <c r="A645" s="152"/>
      <c r="B645" s="152"/>
      <c r="C645" s="152"/>
      <c r="D645" s="152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  <c r="AA645" s="152"/>
      <c r="AB645" s="152"/>
      <c r="AC645" s="152"/>
      <c r="AD645" s="152"/>
      <c r="AE645" s="152"/>
      <c r="AF645" s="152"/>
      <c r="AG645" s="152"/>
      <c r="AH645" s="152"/>
      <c r="AI645" s="152"/>
      <c r="AJ645" s="152"/>
      <c r="AK645" s="152"/>
      <c r="AL645" s="152"/>
      <c r="AM645" s="152"/>
    </row>
    <row r="646">
      <c r="A646" s="152"/>
      <c r="B646" s="152"/>
      <c r="C646" s="152"/>
      <c r="D646" s="152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  <c r="AA646" s="152"/>
      <c r="AB646" s="152"/>
      <c r="AC646" s="152"/>
      <c r="AD646" s="152"/>
      <c r="AE646" s="152"/>
      <c r="AF646" s="152"/>
      <c r="AG646" s="152"/>
      <c r="AH646" s="152"/>
      <c r="AI646" s="152"/>
      <c r="AJ646" s="152"/>
      <c r="AK646" s="152"/>
      <c r="AL646" s="152"/>
      <c r="AM646" s="152"/>
    </row>
    <row r="647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52"/>
      <c r="AF647" s="152"/>
      <c r="AG647" s="152"/>
      <c r="AH647" s="152"/>
      <c r="AI647" s="152"/>
      <c r="AJ647" s="152"/>
      <c r="AK647" s="152"/>
      <c r="AL647" s="152"/>
      <c r="AM647" s="152"/>
    </row>
    <row r="648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52"/>
      <c r="AF648" s="152"/>
      <c r="AG648" s="152"/>
      <c r="AH648" s="152"/>
      <c r="AI648" s="152"/>
      <c r="AJ648" s="152"/>
      <c r="AK648" s="152"/>
      <c r="AL648" s="152"/>
      <c r="AM648" s="152"/>
    </row>
    <row r="649">
      <c r="A649" s="152"/>
      <c r="B649" s="152"/>
      <c r="C649" s="152"/>
      <c r="D649" s="152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  <c r="AA649" s="152"/>
      <c r="AB649" s="152"/>
      <c r="AC649" s="152"/>
      <c r="AD649" s="152"/>
      <c r="AE649" s="152"/>
      <c r="AF649" s="152"/>
      <c r="AG649" s="152"/>
      <c r="AH649" s="152"/>
      <c r="AI649" s="152"/>
      <c r="AJ649" s="152"/>
      <c r="AK649" s="152"/>
      <c r="AL649" s="152"/>
      <c r="AM649" s="152"/>
    </row>
    <row r="650">
      <c r="A650" s="152"/>
      <c r="B650" s="152"/>
      <c r="C650" s="152"/>
      <c r="D650" s="152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  <c r="AA650" s="152"/>
      <c r="AB650" s="152"/>
      <c r="AC650" s="152"/>
      <c r="AD650" s="152"/>
      <c r="AE650" s="152"/>
      <c r="AF650" s="152"/>
      <c r="AG650" s="152"/>
      <c r="AH650" s="152"/>
      <c r="AI650" s="152"/>
      <c r="AJ650" s="152"/>
      <c r="AK650" s="152"/>
      <c r="AL650" s="152"/>
      <c r="AM650" s="152"/>
    </row>
    <row r="651">
      <c r="A651" s="152"/>
      <c r="B651" s="152"/>
      <c r="C651" s="152"/>
      <c r="D651" s="152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  <c r="AA651" s="152"/>
      <c r="AB651" s="152"/>
      <c r="AC651" s="152"/>
      <c r="AD651" s="152"/>
      <c r="AE651" s="152"/>
      <c r="AF651" s="152"/>
      <c r="AG651" s="152"/>
      <c r="AH651" s="152"/>
      <c r="AI651" s="152"/>
      <c r="AJ651" s="152"/>
      <c r="AK651" s="152"/>
      <c r="AL651" s="152"/>
      <c r="AM651" s="152"/>
    </row>
    <row r="652">
      <c r="A652" s="152"/>
      <c r="B652" s="152"/>
      <c r="C652" s="152"/>
      <c r="D652" s="152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  <c r="AA652" s="152"/>
      <c r="AB652" s="152"/>
      <c r="AC652" s="152"/>
      <c r="AD652" s="152"/>
      <c r="AE652" s="152"/>
      <c r="AF652" s="152"/>
      <c r="AG652" s="152"/>
      <c r="AH652" s="152"/>
      <c r="AI652" s="152"/>
      <c r="AJ652" s="152"/>
      <c r="AK652" s="152"/>
      <c r="AL652" s="152"/>
      <c r="AM652" s="152"/>
    </row>
    <row r="653">
      <c r="A653" s="152"/>
      <c r="B653" s="152"/>
      <c r="C653" s="152"/>
      <c r="D653" s="152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  <c r="AA653" s="152"/>
      <c r="AB653" s="152"/>
      <c r="AC653" s="152"/>
      <c r="AD653" s="152"/>
      <c r="AE653" s="152"/>
      <c r="AF653" s="152"/>
      <c r="AG653" s="152"/>
      <c r="AH653" s="152"/>
      <c r="AI653" s="152"/>
      <c r="AJ653" s="152"/>
      <c r="AK653" s="152"/>
      <c r="AL653" s="152"/>
      <c r="AM653" s="152"/>
    </row>
    <row r="654">
      <c r="A654" s="152"/>
      <c r="B654" s="152"/>
      <c r="C654" s="152"/>
      <c r="D654" s="152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  <c r="AA654" s="152"/>
      <c r="AB654" s="152"/>
      <c r="AC654" s="152"/>
      <c r="AD654" s="152"/>
      <c r="AE654" s="152"/>
      <c r="AF654" s="152"/>
      <c r="AG654" s="152"/>
      <c r="AH654" s="152"/>
      <c r="AI654" s="152"/>
      <c r="AJ654" s="152"/>
      <c r="AK654" s="152"/>
      <c r="AL654" s="152"/>
      <c r="AM654" s="152"/>
    </row>
    <row r="655">
      <c r="A655" s="152"/>
      <c r="B655" s="152"/>
      <c r="C655" s="152"/>
      <c r="D655" s="152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  <c r="AA655" s="152"/>
      <c r="AB655" s="152"/>
      <c r="AC655" s="152"/>
      <c r="AD655" s="152"/>
      <c r="AE655" s="152"/>
      <c r="AF655" s="152"/>
      <c r="AG655" s="152"/>
      <c r="AH655" s="152"/>
      <c r="AI655" s="152"/>
      <c r="AJ655" s="152"/>
      <c r="AK655" s="152"/>
      <c r="AL655" s="152"/>
      <c r="AM655" s="152"/>
    </row>
    <row r="656">
      <c r="A656" s="152"/>
      <c r="B656" s="152"/>
      <c r="C656" s="152"/>
      <c r="D656" s="152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  <c r="AA656" s="152"/>
      <c r="AB656" s="152"/>
      <c r="AC656" s="152"/>
      <c r="AD656" s="152"/>
      <c r="AE656" s="152"/>
      <c r="AF656" s="152"/>
      <c r="AG656" s="152"/>
      <c r="AH656" s="152"/>
      <c r="AI656" s="152"/>
      <c r="AJ656" s="152"/>
      <c r="AK656" s="152"/>
      <c r="AL656" s="152"/>
      <c r="AM656" s="152"/>
    </row>
    <row r="657">
      <c r="A657" s="152"/>
      <c r="B657" s="152"/>
      <c r="C657" s="152"/>
      <c r="D657" s="152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  <c r="AA657" s="152"/>
      <c r="AB657" s="152"/>
      <c r="AC657" s="152"/>
      <c r="AD657" s="152"/>
      <c r="AE657" s="152"/>
      <c r="AF657" s="152"/>
      <c r="AG657" s="152"/>
      <c r="AH657" s="152"/>
      <c r="AI657" s="152"/>
      <c r="AJ657" s="152"/>
      <c r="AK657" s="152"/>
      <c r="AL657" s="152"/>
      <c r="AM657" s="152"/>
    </row>
    <row r="658">
      <c r="A658" s="152"/>
      <c r="B658" s="152"/>
      <c r="C658" s="152"/>
      <c r="D658" s="152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  <c r="AA658" s="152"/>
      <c r="AB658" s="152"/>
      <c r="AC658" s="152"/>
      <c r="AD658" s="152"/>
      <c r="AE658" s="152"/>
      <c r="AF658" s="152"/>
      <c r="AG658" s="152"/>
      <c r="AH658" s="152"/>
      <c r="AI658" s="152"/>
      <c r="AJ658" s="152"/>
      <c r="AK658" s="152"/>
      <c r="AL658" s="152"/>
      <c r="AM658" s="152"/>
    </row>
    <row r="659">
      <c r="A659" s="152"/>
      <c r="B659" s="152"/>
      <c r="C659" s="152"/>
      <c r="D659" s="152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  <c r="AA659" s="152"/>
      <c r="AB659" s="152"/>
      <c r="AC659" s="152"/>
      <c r="AD659" s="152"/>
      <c r="AE659" s="152"/>
      <c r="AF659" s="152"/>
      <c r="AG659" s="152"/>
      <c r="AH659" s="152"/>
      <c r="AI659" s="152"/>
      <c r="AJ659" s="152"/>
      <c r="AK659" s="152"/>
      <c r="AL659" s="152"/>
      <c r="AM659" s="152"/>
    </row>
    <row r="660">
      <c r="A660" s="152"/>
      <c r="B660" s="152"/>
      <c r="C660" s="152"/>
      <c r="D660" s="152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  <c r="AA660" s="152"/>
      <c r="AB660" s="152"/>
      <c r="AC660" s="152"/>
      <c r="AD660" s="152"/>
      <c r="AE660" s="152"/>
      <c r="AF660" s="152"/>
      <c r="AG660" s="152"/>
      <c r="AH660" s="152"/>
      <c r="AI660" s="152"/>
      <c r="AJ660" s="152"/>
      <c r="AK660" s="152"/>
      <c r="AL660" s="152"/>
      <c r="AM660" s="152"/>
    </row>
    <row r="661">
      <c r="A661" s="152"/>
      <c r="B661" s="152"/>
      <c r="C661" s="152"/>
      <c r="D661" s="152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  <c r="AA661" s="152"/>
      <c r="AB661" s="152"/>
      <c r="AC661" s="152"/>
      <c r="AD661" s="152"/>
      <c r="AE661" s="152"/>
      <c r="AF661" s="152"/>
      <c r="AG661" s="152"/>
      <c r="AH661" s="152"/>
      <c r="AI661" s="152"/>
      <c r="AJ661" s="152"/>
      <c r="AK661" s="152"/>
      <c r="AL661" s="152"/>
      <c r="AM661" s="152"/>
    </row>
    <row r="662">
      <c r="A662" s="152"/>
      <c r="B662" s="152"/>
      <c r="C662" s="152"/>
      <c r="D662" s="152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  <c r="AA662" s="152"/>
      <c r="AB662" s="152"/>
      <c r="AC662" s="152"/>
      <c r="AD662" s="152"/>
      <c r="AE662" s="152"/>
      <c r="AF662" s="152"/>
      <c r="AG662" s="152"/>
      <c r="AH662" s="152"/>
      <c r="AI662" s="152"/>
      <c r="AJ662" s="152"/>
      <c r="AK662" s="152"/>
      <c r="AL662" s="152"/>
      <c r="AM662" s="152"/>
    </row>
    <row r="663">
      <c r="A663" s="152"/>
      <c r="B663" s="152"/>
      <c r="C663" s="152"/>
      <c r="D663" s="152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  <c r="AA663" s="152"/>
      <c r="AB663" s="152"/>
      <c r="AC663" s="152"/>
      <c r="AD663" s="152"/>
      <c r="AE663" s="152"/>
      <c r="AF663" s="152"/>
      <c r="AG663" s="152"/>
      <c r="AH663" s="152"/>
      <c r="AI663" s="152"/>
      <c r="AJ663" s="152"/>
      <c r="AK663" s="152"/>
      <c r="AL663" s="152"/>
      <c r="AM663" s="152"/>
    </row>
    <row r="664">
      <c r="A664" s="152"/>
      <c r="B664" s="152"/>
      <c r="C664" s="152"/>
      <c r="D664" s="152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  <c r="AA664" s="152"/>
      <c r="AB664" s="152"/>
      <c r="AC664" s="152"/>
      <c r="AD664" s="152"/>
      <c r="AE664" s="152"/>
      <c r="AF664" s="152"/>
      <c r="AG664" s="152"/>
      <c r="AH664" s="152"/>
      <c r="AI664" s="152"/>
      <c r="AJ664" s="152"/>
      <c r="AK664" s="152"/>
      <c r="AL664" s="152"/>
      <c r="AM664" s="152"/>
    </row>
    <row r="665">
      <c r="A665" s="152"/>
      <c r="B665" s="152"/>
      <c r="C665" s="152"/>
      <c r="D665" s="152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  <c r="AA665" s="152"/>
      <c r="AB665" s="152"/>
      <c r="AC665" s="152"/>
      <c r="AD665" s="152"/>
      <c r="AE665" s="152"/>
      <c r="AF665" s="152"/>
      <c r="AG665" s="152"/>
      <c r="AH665" s="152"/>
      <c r="AI665" s="152"/>
      <c r="AJ665" s="152"/>
      <c r="AK665" s="152"/>
      <c r="AL665" s="152"/>
      <c r="AM665" s="152"/>
    </row>
    <row r="666">
      <c r="A666" s="152"/>
      <c r="B666" s="152"/>
      <c r="C666" s="152"/>
      <c r="D666" s="152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  <c r="AA666" s="152"/>
      <c r="AB666" s="152"/>
      <c r="AC666" s="152"/>
      <c r="AD666" s="152"/>
      <c r="AE666" s="152"/>
      <c r="AF666" s="152"/>
      <c r="AG666" s="152"/>
      <c r="AH666" s="152"/>
      <c r="AI666" s="152"/>
      <c r="AJ666" s="152"/>
      <c r="AK666" s="152"/>
      <c r="AL666" s="152"/>
      <c r="AM666" s="152"/>
    </row>
    <row r="667">
      <c r="A667" s="152"/>
      <c r="B667" s="152"/>
      <c r="C667" s="152"/>
      <c r="D667" s="152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  <c r="AA667" s="152"/>
      <c r="AB667" s="152"/>
      <c r="AC667" s="152"/>
      <c r="AD667" s="152"/>
      <c r="AE667" s="152"/>
      <c r="AF667" s="152"/>
      <c r="AG667" s="152"/>
      <c r="AH667" s="152"/>
      <c r="AI667" s="152"/>
      <c r="AJ667" s="152"/>
      <c r="AK667" s="152"/>
      <c r="AL667" s="152"/>
      <c r="AM667" s="152"/>
    </row>
    <row r="668">
      <c r="A668" s="152"/>
      <c r="B668" s="152"/>
      <c r="C668" s="152"/>
      <c r="D668" s="152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  <c r="AA668" s="152"/>
      <c r="AB668" s="152"/>
      <c r="AC668" s="152"/>
      <c r="AD668" s="152"/>
      <c r="AE668" s="152"/>
      <c r="AF668" s="152"/>
      <c r="AG668" s="152"/>
      <c r="AH668" s="152"/>
      <c r="AI668" s="152"/>
      <c r="AJ668" s="152"/>
      <c r="AK668" s="152"/>
      <c r="AL668" s="152"/>
      <c r="AM668" s="152"/>
    </row>
    <row r="669">
      <c r="A669" s="152"/>
      <c r="B669" s="152"/>
      <c r="C669" s="152"/>
      <c r="D669" s="152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  <c r="AA669" s="152"/>
      <c r="AB669" s="152"/>
      <c r="AC669" s="152"/>
      <c r="AD669" s="152"/>
      <c r="AE669" s="152"/>
      <c r="AF669" s="152"/>
      <c r="AG669" s="152"/>
      <c r="AH669" s="152"/>
      <c r="AI669" s="152"/>
      <c r="AJ669" s="152"/>
      <c r="AK669" s="152"/>
      <c r="AL669" s="152"/>
      <c r="AM669" s="152"/>
    </row>
    <row r="670">
      <c r="A670" s="152"/>
      <c r="B670" s="152"/>
      <c r="C670" s="152"/>
      <c r="D670" s="152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  <c r="AA670" s="152"/>
      <c r="AB670" s="152"/>
      <c r="AC670" s="152"/>
      <c r="AD670" s="152"/>
      <c r="AE670" s="152"/>
      <c r="AF670" s="152"/>
      <c r="AG670" s="152"/>
      <c r="AH670" s="152"/>
      <c r="AI670" s="152"/>
      <c r="AJ670" s="152"/>
      <c r="AK670" s="152"/>
      <c r="AL670" s="152"/>
      <c r="AM670" s="152"/>
    </row>
    <row r="671">
      <c r="A671" s="152"/>
      <c r="B671" s="152"/>
      <c r="C671" s="152"/>
      <c r="D671" s="152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  <c r="AA671" s="152"/>
      <c r="AB671" s="152"/>
      <c r="AC671" s="152"/>
      <c r="AD671" s="152"/>
      <c r="AE671" s="152"/>
      <c r="AF671" s="152"/>
      <c r="AG671" s="152"/>
      <c r="AH671" s="152"/>
      <c r="AI671" s="152"/>
      <c r="AJ671" s="152"/>
      <c r="AK671" s="152"/>
      <c r="AL671" s="152"/>
      <c r="AM671" s="152"/>
    </row>
    <row r="672">
      <c r="A672" s="152"/>
      <c r="B672" s="152"/>
      <c r="C672" s="152"/>
      <c r="D672" s="152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  <c r="AA672" s="152"/>
      <c r="AB672" s="152"/>
      <c r="AC672" s="152"/>
      <c r="AD672" s="152"/>
      <c r="AE672" s="152"/>
      <c r="AF672" s="152"/>
      <c r="AG672" s="152"/>
      <c r="AH672" s="152"/>
      <c r="AI672" s="152"/>
      <c r="AJ672" s="152"/>
      <c r="AK672" s="152"/>
      <c r="AL672" s="152"/>
      <c r="AM672" s="152"/>
    </row>
    <row r="673">
      <c r="A673" s="152"/>
      <c r="B673" s="152"/>
      <c r="C673" s="152"/>
      <c r="D673" s="152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  <c r="AA673" s="152"/>
      <c r="AB673" s="152"/>
      <c r="AC673" s="152"/>
      <c r="AD673" s="152"/>
      <c r="AE673" s="152"/>
      <c r="AF673" s="152"/>
      <c r="AG673" s="152"/>
      <c r="AH673" s="152"/>
      <c r="AI673" s="152"/>
      <c r="AJ673" s="152"/>
      <c r="AK673" s="152"/>
      <c r="AL673" s="152"/>
      <c r="AM673" s="152"/>
    </row>
    <row r="674">
      <c r="A674" s="152"/>
      <c r="B674" s="152"/>
      <c r="C674" s="152"/>
      <c r="D674" s="152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  <c r="AA674" s="152"/>
      <c r="AB674" s="152"/>
      <c r="AC674" s="152"/>
      <c r="AD674" s="152"/>
      <c r="AE674" s="152"/>
      <c r="AF674" s="152"/>
      <c r="AG674" s="152"/>
      <c r="AH674" s="152"/>
      <c r="AI674" s="152"/>
      <c r="AJ674" s="152"/>
      <c r="AK674" s="152"/>
      <c r="AL674" s="152"/>
      <c r="AM674" s="152"/>
    </row>
    <row r="675">
      <c r="A675" s="152"/>
      <c r="B675" s="152"/>
      <c r="C675" s="152"/>
      <c r="D675" s="152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  <c r="AA675" s="152"/>
      <c r="AB675" s="152"/>
      <c r="AC675" s="152"/>
      <c r="AD675" s="152"/>
      <c r="AE675" s="152"/>
      <c r="AF675" s="152"/>
      <c r="AG675" s="152"/>
      <c r="AH675" s="152"/>
      <c r="AI675" s="152"/>
      <c r="AJ675" s="152"/>
      <c r="AK675" s="152"/>
      <c r="AL675" s="152"/>
      <c r="AM675" s="152"/>
    </row>
    <row r="676">
      <c r="A676" s="152"/>
      <c r="B676" s="152"/>
      <c r="C676" s="152"/>
      <c r="D676" s="152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  <c r="AA676" s="152"/>
      <c r="AB676" s="152"/>
      <c r="AC676" s="152"/>
      <c r="AD676" s="152"/>
      <c r="AE676" s="152"/>
      <c r="AF676" s="152"/>
      <c r="AG676" s="152"/>
      <c r="AH676" s="152"/>
      <c r="AI676" s="152"/>
      <c r="AJ676" s="152"/>
      <c r="AK676" s="152"/>
      <c r="AL676" s="152"/>
      <c r="AM676" s="152"/>
    </row>
    <row r="677">
      <c r="A677" s="152"/>
      <c r="B677" s="152"/>
      <c r="C677" s="152"/>
      <c r="D677" s="152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  <c r="AA677" s="152"/>
      <c r="AB677" s="152"/>
      <c r="AC677" s="152"/>
      <c r="AD677" s="152"/>
      <c r="AE677" s="152"/>
      <c r="AF677" s="152"/>
      <c r="AG677" s="152"/>
      <c r="AH677" s="152"/>
      <c r="AI677" s="152"/>
      <c r="AJ677" s="152"/>
      <c r="AK677" s="152"/>
      <c r="AL677" s="152"/>
      <c r="AM677" s="152"/>
    </row>
    <row r="678">
      <c r="A678" s="152"/>
      <c r="B678" s="152"/>
      <c r="C678" s="152"/>
      <c r="D678" s="152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  <c r="AA678" s="152"/>
      <c r="AB678" s="152"/>
      <c r="AC678" s="152"/>
      <c r="AD678" s="152"/>
      <c r="AE678" s="152"/>
      <c r="AF678" s="152"/>
      <c r="AG678" s="152"/>
      <c r="AH678" s="152"/>
      <c r="AI678" s="152"/>
      <c r="AJ678" s="152"/>
      <c r="AK678" s="152"/>
      <c r="AL678" s="152"/>
      <c r="AM678" s="152"/>
    </row>
    <row r="679">
      <c r="A679" s="152"/>
      <c r="B679" s="152"/>
      <c r="C679" s="152"/>
      <c r="D679" s="152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  <c r="AA679" s="152"/>
      <c r="AB679" s="152"/>
      <c r="AC679" s="152"/>
      <c r="AD679" s="152"/>
      <c r="AE679" s="152"/>
      <c r="AF679" s="152"/>
      <c r="AG679" s="152"/>
      <c r="AH679" s="152"/>
      <c r="AI679" s="152"/>
      <c r="AJ679" s="152"/>
      <c r="AK679" s="152"/>
      <c r="AL679" s="152"/>
      <c r="AM679" s="152"/>
    </row>
    <row r="680">
      <c r="A680" s="152"/>
      <c r="B680" s="152"/>
      <c r="C680" s="152"/>
      <c r="D680" s="152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  <c r="AA680" s="152"/>
      <c r="AB680" s="152"/>
      <c r="AC680" s="152"/>
      <c r="AD680" s="152"/>
      <c r="AE680" s="152"/>
      <c r="AF680" s="152"/>
      <c r="AG680" s="152"/>
      <c r="AH680" s="152"/>
      <c r="AI680" s="152"/>
      <c r="AJ680" s="152"/>
      <c r="AK680" s="152"/>
      <c r="AL680" s="152"/>
      <c r="AM680" s="152"/>
    </row>
    <row r="681">
      <c r="A681" s="152"/>
      <c r="B681" s="152"/>
      <c r="C681" s="152"/>
      <c r="D681" s="152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  <c r="AA681" s="152"/>
      <c r="AB681" s="152"/>
      <c r="AC681" s="152"/>
      <c r="AD681" s="152"/>
      <c r="AE681" s="152"/>
      <c r="AF681" s="152"/>
      <c r="AG681" s="152"/>
      <c r="AH681" s="152"/>
      <c r="AI681" s="152"/>
      <c r="AJ681" s="152"/>
      <c r="AK681" s="152"/>
      <c r="AL681" s="152"/>
      <c r="AM681" s="152"/>
    </row>
    <row r="682">
      <c r="A682" s="152"/>
      <c r="B682" s="152"/>
      <c r="C682" s="152"/>
      <c r="D682" s="152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  <c r="AA682" s="152"/>
      <c r="AB682" s="152"/>
      <c r="AC682" s="152"/>
      <c r="AD682" s="152"/>
      <c r="AE682" s="152"/>
      <c r="AF682" s="152"/>
      <c r="AG682" s="152"/>
      <c r="AH682" s="152"/>
      <c r="AI682" s="152"/>
      <c r="AJ682" s="152"/>
      <c r="AK682" s="152"/>
      <c r="AL682" s="152"/>
      <c r="AM682" s="152"/>
    </row>
    <row r="683">
      <c r="A683" s="152"/>
      <c r="B683" s="152"/>
      <c r="C683" s="152"/>
      <c r="D683" s="152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  <c r="AA683" s="152"/>
      <c r="AB683" s="152"/>
      <c r="AC683" s="152"/>
      <c r="AD683" s="152"/>
      <c r="AE683" s="152"/>
      <c r="AF683" s="152"/>
      <c r="AG683" s="152"/>
      <c r="AH683" s="152"/>
      <c r="AI683" s="152"/>
      <c r="AJ683" s="152"/>
      <c r="AK683" s="152"/>
      <c r="AL683" s="152"/>
      <c r="AM683" s="152"/>
    </row>
    <row r="684">
      <c r="A684" s="152"/>
      <c r="B684" s="152"/>
      <c r="C684" s="152"/>
      <c r="D684" s="152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  <c r="AA684" s="152"/>
      <c r="AB684" s="152"/>
      <c r="AC684" s="152"/>
      <c r="AD684" s="152"/>
      <c r="AE684" s="152"/>
      <c r="AF684" s="152"/>
      <c r="AG684" s="152"/>
      <c r="AH684" s="152"/>
      <c r="AI684" s="152"/>
      <c r="AJ684" s="152"/>
      <c r="AK684" s="152"/>
      <c r="AL684" s="152"/>
      <c r="AM684" s="152"/>
    </row>
    <row r="685">
      <c r="A685" s="152"/>
      <c r="B685" s="152"/>
      <c r="C685" s="152"/>
      <c r="D685" s="152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  <c r="AA685" s="152"/>
      <c r="AB685" s="152"/>
      <c r="AC685" s="152"/>
      <c r="AD685" s="152"/>
      <c r="AE685" s="152"/>
      <c r="AF685" s="152"/>
      <c r="AG685" s="152"/>
      <c r="AH685" s="152"/>
      <c r="AI685" s="152"/>
      <c r="AJ685" s="152"/>
      <c r="AK685" s="152"/>
      <c r="AL685" s="152"/>
      <c r="AM685" s="152"/>
    </row>
    <row r="686">
      <c r="A686" s="152"/>
      <c r="B686" s="152"/>
      <c r="C686" s="152"/>
      <c r="D686" s="152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  <c r="AA686" s="152"/>
      <c r="AB686" s="152"/>
      <c r="AC686" s="152"/>
      <c r="AD686" s="152"/>
      <c r="AE686" s="152"/>
      <c r="AF686" s="152"/>
      <c r="AG686" s="152"/>
      <c r="AH686" s="152"/>
      <c r="AI686" s="152"/>
      <c r="AJ686" s="152"/>
      <c r="AK686" s="152"/>
      <c r="AL686" s="152"/>
      <c r="AM686" s="152"/>
    </row>
    <row r="687">
      <c r="A687" s="152"/>
      <c r="B687" s="152"/>
      <c r="C687" s="152"/>
      <c r="D687" s="152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  <c r="AA687" s="152"/>
      <c r="AB687" s="152"/>
      <c r="AC687" s="152"/>
      <c r="AD687" s="152"/>
      <c r="AE687" s="152"/>
      <c r="AF687" s="152"/>
      <c r="AG687" s="152"/>
      <c r="AH687" s="152"/>
      <c r="AI687" s="152"/>
      <c r="AJ687" s="152"/>
      <c r="AK687" s="152"/>
      <c r="AL687" s="152"/>
      <c r="AM687" s="152"/>
    </row>
    <row r="688">
      <c r="A688" s="152"/>
      <c r="B688" s="152"/>
      <c r="C688" s="152"/>
      <c r="D688" s="152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  <c r="AA688" s="152"/>
      <c r="AB688" s="152"/>
      <c r="AC688" s="152"/>
      <c r="AD688" s="152"/>
      <c r="AE688" s="152"/>
      <c r="AF688" s="152"/>
      <c r="AG688" s="152"/>
      <c r="AH688" s="152"/>
      <c r="AI688" s="152"/>
      <c r="AJ688" s="152"/>
      <c r="AK688" s="152"/>
      <c r="AL688" s="152"/>
      <c r="AM688" s="152"/>
    </row>
    <row r="689">
      <c r="A689" s="152"/>
      <c r="B689" s="152"/>
      <c r="C689" s="152"/>
      <c r="D689" s="152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  <c r="AA689" s="152"/>
      <c r="AB689" s="152"/>
      <c r="AC689" s="152"/>
      <c r="AD689" s="152"/>
      <c r="AE689" s="152"/>
      <c r="AF689" s="152"/>
      <c r="AG689" s="152"/>
      <c r="AH689" s="152"/>
      <c r="AI689" s="152"/>
      <c r="AJ689" s="152"/>
      <c r="AK689" s="152"/>
      <c r="AL689" s="152"/>
      <c r="AM689" s="152"/>
    </row>
    <row r="690">
      <c r="A690" s="152"/>
      <c r="B690" s="152"/>
      <c r="C690" s="152"/>
      <c r="D690" s="152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  <c r="AA690" s="152"/>
      <c r="AB690" s="152"/>
      <c r="AC690" s="152"/>
      <c r="AD690" s="152"/>
      <c r="AE690" s="152"/>
      <c r="AF690" s="152"/>
      <c r="AG690" s="152"/>
      <c r="AH690" s="152"/>
      <c r="AI690" s="152"/>
      <c r="AJ690" s="152"/>
      <c r="AK690" s="152"/>
      <c r="AL690" s="152"/>
      <c r="AM690" s="152"/>
    </row>
    <row r="691">
      <c r="A691" s="152"/>
      <c r="B691" s="152"/>
      <c r="C691" s="152"/>
      <c r="D691" s="152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  <c r="AA691" s="152"/>
      <c r="AB691" s="152"/>
      <c r="AC691" s="152"/>
      <c r="AD691" s="152"/>
      <c r="AE691" s="152"/>
      <c r="AF691" s="152"/>
      <c r="AG691" s="152"/>
      <c r="AH691" s="152"/>
      <c r="AI691" s="152"/>
      <c r="AJ691" s="152"/>
      <c r="AK691" s="152"/>
      <c r="AL691" s="152"/>
      <c r="AM691" s="152"/>
    </row>
    <row r="692">
      <c r="A692" s="152"/>
      <c r="B692" s="152"/>
      <c r="C692" s="152"/>
      <c r="D692" s="152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  <c r="AA692" s="152"/>
      <c r="AB692" s="152"/>
      <c r="AC692" s="152"/>
      <c r="AD692" s="152"/>
      <c r="AE692" s="152"/>
      <c r="AF692" s="152"/>
      <c r="AG692" s="152"/>
      <c r="AH692" s="152"/>
      <c r="AI692" s="152"/>
      <c r="AJ692" s="152"/>
      <c r="AK692" s="152"/>
      <c r="AL692" s="152"/>
      <c r="AM692" s="152"/>
    </row>
    <row r="693">
      <c r="A693" s="152"/>
      <c r="B693" s="152"/>
      <c r="C693" s="152"/>
      <c r="D693" s="152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  <c r="AA693" s="152"/>
      <c r="AB693" s="152"/>
      <c r="AC693" s="152"/>
      <c r="AD693" s="152"/>
      <c r="AE693" s="152"/>
      <c r="AF693" s="152"/>
      <c r="AG693" s="152"/>
      <c r="AH693" s="152"/>
      <c r="AI693" s="152"/>
      <c r="AJ693" s="152"/>
      <c r="AK693" s="152"/>
      <c r="AL693" s="152"/>
      <c r="AM693" s="152"/>
    </row>
    <row r="694">
      <c r="A694" s="152"/>
      <c r="B694" s="152"/>
      <c r="C694" s="152"/>
      <c r="D694" s="152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  <c r="AA694" s="152"/>
      <c r="AB694" s="152"/>
      <c r="AC694" s="152"/>
      <c r="AD694" s="152"/>
      <c r="AE694" s="152"/>
      <c r="AF694" s="152"/>
      <c r="AG694" s="152"/>
      <c r="AH694" s="152"/>
      <c r="AI694" s="152"/>
      <c r="AJ694" s="152"/>
      <c r="AK694" s="152"/>
      <c r="AL694" s="152"/>
      <c r="AM694" s="152"/>
    </row>
    <row r="695">
      <c r="A695" s="152"/>
      <c r="B695" s="152"/>
      <c r="C695" s="152"/>
      <c r="D695" s="152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  <c r="AA695" s="152"/>
      <c r="AB695" s="152"/>
      <c r="AC695" s="152"/>
      <c r="AD695" s="152"/>
      <c r="AE695" s="152"/>
      <c r="AF695" s="152"/>
      <c r="AG695" s="152"/>
      <c r="AH695" s="152"/>
      <c r="AI695" s="152"/>
      <c r="AJ695" s="152"/>
      <c r="AK695" s="152"/>
      <c r="AL695" s="152"/>
      <c r="AM695" s="152"/>
    </row>
    <row r="696">
      <c r="A696" s="152"/>
      <c r="B696" s="152"/>
      <c r="C696" s="152"/>
      <c r="D696" s="152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  <c r="AA696" s="152"/>
      <c r="AB696" s="152"/>
      <c r="AC696" s="152"/>
      <c r="AD696" s="152"/>
      <c r="AE696" s="152"/>
      <c r="AF696" s="152"/>
      <c r="AG696" s="152"/>
      <c r="AH696" s="152"/>
      <c r="AI696" s="152"/>
      <c r="AJ696" s="152"/>
      <c r="AK696" s="152"/>
      <c r="AL696" s="152"/>
      <c r="AM696" s="152"/>
    </row>
    <row r="697">
      <c r="A697" s="152"/>
      <c r="B697" s="152"/>
      <c r="C697" s="152"/>
      <c r="D697" s="152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  <c r="AA697" s="152"/>
      <c r="AB697" s="152"/>
      <c r="AC697" s="152"/>
      <c r="AD697" s="152"/>
      <c r="AE697" s="152"/>
      <c r="AF697" s="152"/>
      <c r="AG697" s="152"/>
      <c r="AH697" s="152"/>
      <c r="AI697" s="152"/>
      <c r="AJ697" s="152"/>
      <c r="AK697" s="152"/>
      <c r="AL697" s="152"/>
      <c r="AM697" s="152"/>
    </row>
    <row r="698">
      <c r="A698" s="152"/>
      <c r="B698" s="152"/>
      <c r="C698" s="152"/>
      <c r="D698" s="152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  <c r="AA698" s="152"/>
      <c r="AB698" s="152"/>
      <c r="AC698" s="152"/>
      <c r="AD698" s="152"/>
      <c r="AE698" s="152"/>
      <c r="AF698" s="152"/>
      <c r="AG698" s="152"/>
      <c r="AH698" s="152"/>
      <c r="AI698" s="152"/>
      <c r="AJ698" s="152"/>
      <c r="AK698" s="152"/>
      <c r="AL698" s="152"/>
      <c r="AM698" s="152"/>
    </row>
    <row r="699">
      <c r="A699" s="152"/>
      <c r="B699" s="152"/>
      <c r="C699" s="152"/>
      <c r="D699" s="152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  <c r="AA699" s="152"/>
      <c r="AB699" s="152"/>
      <c r="AC699" s="152"/>
      <c r="AD699" s="152"/>
      <c r="AE699" s="152"/>
      <c r="AF699" s="152"/>
      <c r="AG699" s="152"/>
      <c r="AH699" s="152"/>
      <c r="AI699" s="152"/>
      <c r="AJ699" s="152"/>
      <c r="AK699" s="152"/>
      <c r="AL699" s="152"/>
      <c r="AM699" s="152"/>
    </row>
    <row r="700">
      <c r="A700" s="152"/>
      <c r="B700" s="152"/>
      <c r="C700" s="152"/>
      <c r="D700" s="152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  <c r="AA700" s="152"/>
      <c r="AB700" s="152"/>
      <c r="AC700" s="152"/>
      <c r="AD700" s="152"/>
      <c r="AE700" s="152"/>
      <c r="AF700" s="152"/>
      <c r="AG700" s="152"/>
      <c r="AH700" s="152"/>
      <c r="AI700" s="152"/>
      <c r="AJ700" s="152"/>
      <c r="AK700" s="152"/>
      <c r="AL700" s="152"/>
      <c r="AM700" s="152"/>
    </row>
    <row r="701">
      <c r="A701" s="152"/>
      <c r="B701" s="152"/>
      <c r="C701" s="152"/>
      <c r="D701" s="152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  <c r="AA701" s="152"/>
      <c r="AB701" s="152"/>
      <c r="AC701" s="152"/>
      <c r="AD701" s="152"/>
      <c r="AE701" s="152"/>
      <c r="AF701" s="152"/>
      <c r="AG701" s="152"/>
      <c r="AH701" s="152"/>
      <c r="AI701" s="152"/>
      <c r="AJ701" s="152"/>
      <c r="AK701" s="152"/>
      <c r="AL701" s="152"/>
      <c r="AM701" s="152"/>
    </row>
    <row r="702">
      <c r="A702" s="152"/>
      <c r="B702" s="152"/>
      <c r="C702" s="152"/>
      <c r="D702" s="152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  <c r="AA702" s="152"/>
      <c r="AB702" s="152"/>
      <c r="AC702" s="152"/>
      <c r="AD702" s="152"/>
      <c r="AE702" s="152"/>
      <c r="AF702" s="152"/>
      <c r="AG702" s="152"/>
      <c r="AH702" s="152"/>
      <c r="AI702" s="152"/>
      <c r="AJ702" s="152"/>
      <c r="AK702" s="152"/>
      <c r="AL702" s="152"/>
      <c r="AM702" s="152"/>
    </row>
    <row r="703">
      <c r="A703" s="152"/>
      <c r="B703" s="152"/>
      <c r="C703" s="152"/>
      <c r="D703" s="152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  <c r="AA703" s="152"/>
      <c r="AB703" s="152"/>
      <c r="AC703" s="152"/>
      <c r="AD703" s="152"/>
      <c r="AE703" s="152"/>
      <c r="AF703" s="152"/>
      <c r="AG703" s="152"/>
      <c r="AH703" s="152"/>
      <c r="AI703" s="152"/>
      <c r="AJ703" s="152"/>
      <c r="AK703" s="152"/>
      <c r="AL703" s="152"/>
      <c r="AM703" s="152"/>
    </row>
    <row r="704">
      <c r="A704" s="152"/>
      <c r="B704" s="152"/>
      <c r="C704" s="152"/>
      <c r="D704" s="152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  <c r="AA704" s="152"/>
      <c r="AB704" s="152"/>
      <c r="AC704" s="152"/>
      <c r="AD704" s="152"/>
      <c r="AE704" s="152"/>
      <c r="AF704" s="152"/>
      <c r="AG704" s="152"/>
      <c r="AH704" s="152"/>
      <c r="AI704" s="152"/>
      <c r="AJ704" s="152"/>
      <c r="AK704" s="152"/>
      <c r="AL704" s="152"/>
      <c r="AM704" s="152"/>
    </row>
    <row r="705">
      <c r="A705" s="152"/>
      <c r="B705" s="152"/>
      <c r="C705" s="152"/>
      <c r="D705" s="152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  <c r="AA705" s="152"/>
      <c r="AB705" s="152"/>
      <c r="AC705" s="152"/>
      <c r="AD705" s="152"/>
      <c r="AE705" s="152"/>
      <c r="AF705" s="152"/>
      <c r="AG705" s="152"/>
      <c r="AH705" s="152"/>
      <c r="AI705" s="152"/>
      <c r="AJ705" s="152"/>
      <c r="AK705" s="152"/>
      <c r="AL705" s="152"/>
      <c r="AM705" s="152"/>
    </row>
    <row r="706">
      <c r="A706" s="152"/>
      <c r="B706" s="152"/>
      <c r="C706" s="152"/>
      <c r="D706" s="152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  <c r="AA706" s="152"/>
      <c r="AB706" s="152"/>
      <c r="AC706" s="152"/>
      <c r="AD706" s="152"/>
      <c r="AE706" s="152"/>
      <c r="AF706" s="152"/>
      <c r="AG706" s="152"/>
      <c r="AH706" s="152"/>
      <c r="AI706" s="152"/>
      <c r="AJ706" s="152"/>
      <c r="AK706" s="152"/>
      <c r="AL706" s="152"/>
      <c r="AM706" s="152"/>
    </row>
    <row r="707">
      <c r="A707" s="152"/>
      <c r="B707" s="152"/>
      <c r="C707" s="152"/>
      <c r="D707" s="152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  <c r="AA707" s="152"/>
      <c r="AB707" s="152"/>
      <c r="AC707" s="152"/>
      <c r="AD707" s="152"/>
      <c r="AE707" s="152"/>
      <c r="AF707" s="152"/>
      <c r="AG707" s="152"/>
      <c r="AH707" s="152"/>
      <c r="AI707" s="152"/>
      <c r="AJ707" s="152"/>
      <c r="AK707" s="152"/>
      <c r="AL707" s="152"/>
      <c r="AM707" s="152"/>
    </row>
    <row r="708">
      <c r="A708" s="152"/>
      <c r="B708" s="152"/>
      <c r="C708" s="152"/>
      <c r="D708" s="152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  <c r="AA708" s="152"/>
      <c r="AB708" s="152"/>
      <c r="AC708" s="152"/>
      <c r="AD708" s="152"/>
      <c r="AE708" s="152"/>
      <c r="AF708" s="152"/>
      <c r="AG708" s="152"/>
      <c r="AH708" s="152"/>
      <c r="AI708" s="152"/>
      <c r="AJ708" s="152"/>
      <c r="AK708" s="152"/>
      <c r="AL708" s="152"/>
      <c r="AM708" s="152"/>
    </row>
    <row r="709">
      <c r="A709" s="152"/>
      <c r="B709" s="152"/>
      <c r="C709" s="152"/>
      <c r="D709" s="152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  <c r="AA709" s="152"/>
      <c r="AB709" s="152"/>
      <c r="AC709" s="152"/>
      <c r="AD709" s="152"/>
      <c r="AE709" s="152"/>
      <c r="AF709" s="152"/>
      <c r="AG709" s="152"/>
      <c r="AH709" s="152"/>
      <c r="AI709" s="152"/>
      <c r="AJ709" s="152"/>
      <c r="AK709" s="152"/>
      <c r="AL709" s="152"/>
      <c r="AM709" s="152"/>
    </row>
    <row r="710">
      <c r="A710" s="152"/>
      <c r="B710" s="152"/>
      <c r="C710" s="152"/>
      <c r="D710" s="152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  <c r="AA710" s="152"/>
      <c r="AB710" s="152"/>
      <c r="AC710" s="152"/>
      <c r="AD710" s="152"/>
      <c r="AE710" s="152"/>
      <c r="AF710" s="152"/>
      <c r="AG710" s="152"/>
      <c r="AH710" s="152"/>
      <c r="AI710" s="152"/>
      <c r="AJ710" s="152"/>
      <c r="AK710" s="152"/>
      <c r="AL710" s="152"/>
      <c r="AM710" s="152"/>
    </row>
    <row r="711">
      <c r="A711" s="152"/>
      <c r="B711" s="152"/>
      <c r="C711" s="152"/>
      <c r="D711" s="152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  <c r="AA711" s="152"/>
      <c r="AB711" s="152"/>
      <c r="AC711" s="152"/>
      <c r="AD711" s="152"/>
      <c r="AE711" s="152"/>
      <c r="AF711" s="152"/>
      <c r="AG711" s="152"/>
      <c r="AH711" s="152"/>
      <c r="AI711" s="152"/>
      <c r="AJ711" s="152"/>
      <c r="AK711" s="152"/>
      <c r="AL711" s="152"/>
      <c r="AM711" s="152"/>
    </row>
    <row r="712">
      <c r="A712" s="152"/>
      <c r="B712" s="152"/>
      <c r="C712" s="152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  <c r="AA712" s="152"/>
      <c r="AB712" s="152"/>
      <c r="AC712" s="152"/>
      <c r="AD712" s="152"/>
      <c r="AE712" s="152"/>
      <c r="AF712" s="152"/>
      <c r="AG712" s="152"/>
      <c r="AH712" s="152"/>
      <c r="AI712" s="152"/>
      <c r="AJ712" s="152"/>
      <c r="AK712" s="152"/>
      <c r="AL712" s="152"/>
      <c r="AM712" s="152"/>
    </row>
    <row r="713">
      <c r="A713" s="152"/>
      <c r="B713" s="152"/>
      <c r="C713" s="152"/>
      <c r="D713" s="152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  <c r="AA713" s="152"/>
      <c r="AB713" s="152"/>
      <c r="AC713" s="152"/>
      <c r="AD713" s="152"/>
      <c r="AE713" s="152"/>
      <c r="AF713" s="152"/>
      <c r="AG713" s="152"/>
      <c r="AH713" s="152"/>
      <c r="AI713" s="152"/>
      <c r="AJ713" s="152"/>
      <c r="AK713" s="152"/>
      <c r="AL713" s="152"/>
      <c r="AM713" s="152"/>
    </row>
    <row r="714">
      <c r="A714" s="152"/>
      <c r="B714" s="152"/>
      <c r="C714" s="152"/>
      <c r="D714" s="152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  <c r="AA714" s="152"/>
      <c r="AB714" s="152"/>
      <c r="AC714" s="152"/>
      <c r="AD714" s="152"/>
      <c r="AE714" s="152"/>
      <c r="AF714" s="152"/>
      <c r="AG714" s="152"/>
      <c r="AH714" s="152"/>
      <c r="AI714" s="152"/>
      <c r="AJ714" s="152"/>
      <c r="AK714" s="152"/>
      <c r="AL714" s="152"/>
      <c r="AM714" s="152"/>
    </row>
    <row r="715">
      <c r="A715" s="152"/>
      <c r="B715" s="152"/>
      <c r="C715" s="152"/>
      <c r="D715" s="152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  <c r="AA715" s="152"/>
      <c r="AB715" s="152"/>
      <c r="AC715" s="152"/>
      <c r="AD715" s="152"/>
      <c r="AE715" s="152"/>
      <c r="AF715" s="152"/>
      <c r="AG715" s="152"/>
      <c r="AH715" s="152"/>
      <c r="AI715" s="152"/>
      <c r="AJ715" s="152"/>
      <c r="AK715" s="152"/>
      <c r="AL715" s="152"/>
      <c r="AM715" s="152"/>
    </row>
    <row r="716">
      <c r="A716" s="152"/>
      <c r="B716" s="152"/>
      <c r="C716" s="152"/>
      <c r="D716" s="152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  <c r="AA716" s="152"/>
      <c r="AB716" s="152"/>
      <c r="AC716" s="152"/>
      <c r="AD716" s="152"/>
      <c r="AE716" s="152"/>
      <c r="AF716" s="152"/>
      <c r="AG716" s="152"/>
      <c r="AH716" s="152"/>
      <c r="AI716" s="152"/>
      <c r="AJ716" s="152"/>
      <c r="AK716" s="152"/>
      <c r="AL716" s="152"/>
      <c r="AM716" s="152"/>
    </row>
    <row r="717">
      <c r="A717" s="152"/>
      <c r="B717" s="152"/>
      <c r="C717" s="152"/>
      <c r="D717" s="152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  <c r="AA717" s="152"/>
      <c r="AB717" s="152"/>
      <c r="AC717" s="152"/>
      <c r="AD717" s="152"/>
      <c r="AE717" s="152"/>
      <c r="AF717" s="152"/>
      <c r="AG717" s="152"/>
      <c r="AH717" s="152"/>
      <c r="AI717" s="152"/>
      <c r="AJ717" s="152"/>
      <c r="AK717" s="152"/>
      <c r="AL717" s="152"/>
      <c r="AM717" s="152"/>
    </row>
    <row r="718">
      <c r="A718" s="152"/>
      <c r="B718" s="152"/>
      <c r="C718" s="152"/>
      <c r="D718" s="152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  <c r="AA718" s="152"/>
      <c r="AB718" s="152"/>
      <c r="AC718" s="152"/>
      <c r="AD718" s="152"/>
      <c r="AE718" s="152"/>
      <c r="AF718" s="152"/>
      <c r="AG718" s="152"/>
      <c r="AH718" s="152"/>
      <c r="AI718" s="152"/>
      <c r="AJ718" s="152"/>
      <c r="AK718" s="152"/>
      <c r="AL718" s="152"/>
      <c r="AM718" s="152"/>
    </row>
    <row r="719">
      <c r="A719" s="152"/>
      <c r="B719" s="152"/>
      <c r="C719" s="152"/>
      <c r="D719" s="152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  <c r="AA719" s="152"/>
      <c r="AB719" s="152"/>
      <c r="AC719" s="152"/>
      <c r="AD719" s="152"/>
      <c r="AE719" s="152"/>
      <c r="AF719" s="152"/>
      <c r="AG719" s="152"/>
      <c r="AH719" s="152"/>
      <c r="AI719" s="152"/>
      <c r="AJ719" s="152"/>
      <c r="AK719" s="152"/>
      <c r="AL719" s="152"/>
      <c r="AM719" s="152"/>
    </row>
    <row r="720">
      <c r="A720" s="152"/>
      <c r="B720" s="152"/>
      <c r="C720" s="152"/>
      <c r="D720" s="152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  <c r="AA720" s="152"/>
      <c r="AB720" s="152"/>
      <c r="AC720" s="152"/>
      <c r="AD720" s="152"/>
      <c r="AE720" s="152"/>
      <c r="AF720" s="152"/>
      <c r="AG720" s="152"/>
      <c r="AH720" s="152"/>
      <c r="AI720" s="152"/>
      <c r="AJ720" s="152"/>
      <c r="AK720" s="152"/>
      <c r="AL720" s="152"/>
      <c r="AM720" s="152"/>
    </row>
    <row r="721">
      <c r="A721" s="152"/>
      <c r="B721" s="152"/>
      <c r="C721" s="152"/>
      <c r="D721" s="152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  <c r="AA721" s="152"/>
      <c r="AB721" s="152"/>
      <c r="AC721" s="152"/>
      <c r="AD721" s="152"/>
      <c r="AE721" s="152"/>
      <c r="AF721" s="152"/>
      <c r="AG721" s="152"/>
      <c r="AH721" s="152"/>
      <c r="AI721" s="152"/>
      <c r="AJ721" s="152"/>
      <c r="AK721" s="152"/>
      <c r="AL721" s="152"/>
      <c r="AM721" s="152"/>
    </row>
    <row r="722">
      <c r="A722" s="152"/>
      <c r="B722" s="152"/>
      <c r="C722" s="152"/>
      <c r="D722" s="152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  <c r="AA722" s="152"/>
      <c r="AB722" s="152"/>
      <c r="AC722" s="152"/>
      <c r="AD722" s="152"/>
      <c r="AE722" s="152"/>
      <c r="AF722" s="152"/>
      <c r="AG722" s="152"/>
      <c r="AH722" s="152"/>
      <c r="AI722" s="152"/>
      <c r="AJ722" s="152"/>
      <c r="AK722" s="152"/>
      <c r="AL722" s="152"/>
      <c r="AM722" s="152"/>
    </row>
    <row r="723">
      <c r="A723" s="152"/>
      <c r="B723" s="152"/>
      <c r="C723" s="152"/>
      <c r="D723" s="152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  <c r="AA723" s="152"/>
      <c r="AB723" s="152"/>
      <c r="AC723" s="152"/>
      <c r="AD723" s="152"/>
      <c r="AE723" s="152"/>
      <c r="AF723" s="152"/>
      <c r="AG723" s="152"/>
      <c r="AH723" s="152"/>
      <c r="AI723" s="152"/>
      <c r="AJ723" s="152"/>
      <c r="AK723" s="152"/>
      <c r="AL723" s="152"/>
      <c r="AM723" s="152"/>
    </row>
    <row r="724">
      <c r="A724" s="152"/>
      <c r="B724" s="152"/>
      <c r="C724" s="152"/>
      <c r="D724" s="152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  <c r="AA724" s="152"/>
      <c r="AB724" s="152"/>
      <c r="AC724" s="152"/>
      <c r="AD724" s="152"/>
      <c r="AE724" s="152"/>
      <c r="AF724" s="152"/>
      <c r="AG724" s="152"/>
      <c r="AH724" s="152"/>
      <c r="AI724" s="152"/>
      <c r="AJ724" s="152"/>
      <c r="AK724" s="152"/>
      <c r="AL724" s="152"/>
      <c r="AM724" s="152"/>
    </row>
    <row r="725">
      <c r="A725" s="152"/>
      <c r="B725" s="152"/>
      <c r="C725" s="152"/>
      <c r="D725" s="152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  <c r="AA725" s="152"/>
      <c r="AB725" s="152"/>
      <c r="AC725" s="152"/>
      <c r="AD725" s="152"/>
      <c r="AE725" s="152"/>
      <c r="AF725" s="152"/>
      <c r="AG725" s="152"/>
      <c r="AH725" s="152"/>
      <c r="AI725" s="152"/>
      <c r="AJ725" s="152"/>
      <c r="AK725" s="152"/>
      <c r="AL725" s="152"/>
      <c r="AM725" s="152"/>
    </row>
    <row r="726">
      <c r="A726" s="152"/>
      <c r="B726" s="152"/>
      <c r="C726" s="152"/>
      <c r="D726" s="152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  <c r="AA726" s="152"/>
      <c r="AB726" s="152"/>
      <c r="AC726" s="152"/>
      <c r="AD726" s="152"/>
      <c r="AE726" s="152"/>
      <c r="AF726" s="152"/>
      <c r="AG726" s="152"/>
      <c r="AH726" s="152"/>
      <c r="AI726" s="152"/>
      <c r="AJ726" s="152"/>
      <c r="AK726" s="152"/>
      <c r="AL726" s="152"/>
      <c r="AM726" s="152"/>
    </row>
    <row r="727">
      <c r="A727" s="152"/>
      <c r="B727" s="152"/>
      <c r="C727" s="152"/>
      <c r="D727" s="152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  <c r="AA727" s="152"/>
      <c r="AB727" s="152"/>
      <c r="AC727" s="152"/>
      <c r="AD727" s="152"/>
      <c r="AE727" s="152"/>
      <c r="AF727" s="152"/>
      <c r="AG727" s="152"/>
      <c r="AH727" s="152"/>
      <c r="AI727" s="152"/>
      <c r="AJ727" s="152"/>
      <c r="AK727" s="152"/>
      <c r="AL727" s="152"/>
      <c r="AM727" s="152"/>
    </row>
    <row r="728">
      <c r="A728" s="152"/>
      <c r="B728" s="152"/>
      <c r="C728" s="152"/>
      <c r="D728" s="152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  <c r="AA728" s="152"/>
      <c r="AB728" s="152"/>
      <c r="AC728" s="152"/>
      <c r="AD728" s="152"/>
      <c r="AE728" s="152"/>
      <c r="AF728" s="152"/>
      <c r="AG728" s="152"/>
      <c r="AH728" s="152"/>
      <c r="AI728" s="152"/>
      <c r="AJ728" s="152"/>
      <c r="AK728" s="152"/>
      <c r="AL728" s="152"/>
      <c r="AM728" s="152"/>
    </row>
    <row r="729">
      <c r="A729" s="152"/>
      <c r="B729" s="152"/>
      <c r="C729" s="152"/>
      <c r="D729" s="152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  <c r="AA729" s="152"/>
      <c r="AB729" s="152"/>
      <c r="AC729" s="152"/>
      <c r="AD729" s="152"/>
      <c r="AE729" s="152"/>
      <c r="AF729" s="152"/>
      <c r="AG729" s="152"/>
      <c r="AH729" s="152"/>
      <c r="AI729" s="152"/>
      <c r="AJ729" s="152"/>
      <c r="AK729" s="152"/>
      <c r="AL729" s="152"/>
      <c r="AM729" s="152"/>
    </row>
    <row r="730">
      <c r="A730" s="152"/>
      <c r="B730" s="152"/>
      <c r="C730" s="152"/>
      <c r="D730" s="152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  <c r="AA730" s="152"/>
      <c r="AB730" s="152"/>
      <c r="AC730" s="152"/>
      <c r="AD730" s="152"/>
      <c r="AE730" s="152"/>
      <c r="AF730" s="152"/>
      <c r="AG730" s="152"/>
      <c r="AH730" s="152"/>
      <c r="AI730" s="152"/>
      <c r="AJ730" s="152"/>
      <c r="AK730" s="152"/>
      <c r="AL730" s="152"/>
      <c r="AM730" s="152"/>
    </row>
    <row r="731">
      <c r="A731" s="152"/>
      <c r="B731" s="152"/>
      <c r="C731" s="152"/>
      <c r="D731" s="152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  <c r="AA731" s="152"/>
      <c r="AB731" s="152"/>
      <c r="AC731" s="152"/>
      <c r="AD731" s="152"/>
      <c r="AE731" s="152"/>
      <c r="AF731" s="152"/>
      <c r="AG731" s="152"/>
      <c r="AH731" s="152"/>
      <c r="AI731" s="152"/>
      <c r="AJ731" s="152"/>
      <c r="AK731" s="152"/>
      <c r="AL731" s="152"/>
      <c r="AM731" s="152"/>
    </row>
    <row r="732">
      <c r="A732" s="152"/>
      <c r="B732" s="152"/>
      <c r="C732" s="152"/>
      <c r="D732" s="152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  <c r="AA732" s="152"/>
      <c r="AB732" s="152"/>
      <c r="AC732" s="152"/>
      <c r="AD732" s="152"/>
      <c r="AE732" s="152"/>
      <c r="AF732" s="152"/>
      <c r="AG732" s="152"/>
      <c r="AH732" s="152"/>
      <c r="AI732" s="152"/>
      <c r="AJ732" s="152"/>
      <c r="AK732" s="152"/>
      <c r="AL732" s="152"/>
      <c r="AM732" s="152"/>
    </row>
    <row r="733">
      <c r="A733" s="152"/>
      <c r="B733" s="152"/>
      <c r="C733" s="152"/>
      <c r="D733" s="152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  <c r="AA733" s="152"/>
      <c r="AB733" s="152"/>
      <c r="AC733" s="152"/>
      <c r="AD733" s="152"/>
      <c r="AE733" s="152"/>
      <c r="AF733" s="152"/>
      <c r="AG733" s="152"/>
      <c r="AH733" s="152"/>
      <c r="AI733" s="152"/>
      <c r="AJ733" s="152"/>
      <c r="AK733" s="152"/>
      <c r="AL733" s="152"/>
      <c r="AM733" s="152"/>
    </row>
    <row r="734">
      <c r="A734" s="152"/>
      <c r="B734" s="152"/>
      <c r="C734" s="152"/>
      <c r="D734" s="152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  <c r="AA734" s="152"/>
      <c r="AB734" s="152"/>
      <c r="AC734" s="152"/>
      <c r="AD734" s="152"/>
      <c r="AE734" s="152"/>
      <c r="AF734" s="152"/>
      <c r="AG734" s="152"/>
      <c r="AH734" s="152"/>
      <c r="AI734" s="152"/>
      <c r="AJ734" s="152"/>
      <c r="AK734" s="152"/>
      <c r="AL734" s="152"/>
      <c r="AM734" s="152"/>
    </row>
    <row r="735">
      <c r="A735" s="152"/>
      <c r="B735" s="152"/>
      <c r="C735" s="152"/>
      <c r="D735" s="152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  <c r="AA735" s="152"/>
      <c r="AB735" s="152"/>
      <c r="AC735" s="152"/>
      <c r="AD735" s="152"/>
      <c r="AE735" s="152"/>
      <c r="AF735" s="152"/>
      <c r="AG735" s="152"/>
      <c r="AH735" s="152"/>
      <c r="AI735" s="152"/>
      <c r="AJ735" s="152"/>
      <c r="AK735" s="152"/>
      <c r="AL735" s="152"/>
      <c r="AM735" s="152"/>
    </row>
    <row r="736">
      <c r="A736" s="152"/>
      <c r="B736" s="152"/>
      <c r="C736" s="152"/>
      <c r="D736" s="152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  <c r="AA736" s="152"/>
      <c r="AB736" s="152"/>
      <c r="AC736" s="152"/>
      <c r="AD736" s="152"/>
      <c r="AE736" s="152"/>
      <c r="AF736" s="152"/>
      <c r="AG736" s="152"/>
      <c r="AH736" s="152"/>
      <c r="AI736" s="152"/>
      <c r="AJ736" s="152"/>
      <c r="AK736" s="152"/>
      <c r="AL736" s="152"/>
      <c r="AM736" s="152"/>
    </row>
    <row r="737">
      <c r="A737" s="152"/>
      <c r="B737" s="152"/>
      <c r="C737" s="152"/>
      <c r="D737" s="152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  <c r="AA737" s="152"/>
      <c r="AB737" s="152"/>
      <c r="AC737" s="152"/>
      <c r="AD737" s="152"/>
      <c r="AE737" s="152"/>
      <c r="AF737" s="152"/>
      <c r="AG737" s="152"/>
      <c r="AH737" s="152"/>
      <c r="AI737" s="152"/>
      <c r="AJ737" s="152"/>
      <c r="AK737" s="152"/>
      <c r="AL737" s="152"/>
      <c r="AM737" s="152"/>
    </row>
    <row r="738">
      <c r="A738" s="152"/>
      <c r="B738" s="152"/>
      <c r="C738" s="152"/>
      <c r="D738" s="152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  <c r="AA738" s="152"/>
      <c r="AB738" s="152"/>
      <c r="AC738" s="152"/>
      <c r="AD738" s="152"/>
      <c r="AE738" s="152"/>
      <c r="AF738" s="152"/>
      <c r="AG738" s="152"/>
      <c r="AH738" s="152"/>
      <c r="AI738" s="152"/>
      <c r="AJ738" s="152"/>
      <c r="AK738" s="152"/>
      <c r="AL738" s="152"/>
      <c r="AM738" s="152"/>
    </row>
    <row r="739">
      <c r="A739" s="152"/>
      <c r="B739" s="152"/>
      <c r="C739" s="152"/>
      <c r="D739" s="152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  <c r="AA739" s="152"/>
      <c r="AB739" s="152"/>
      <c r="AC739" s="152"/>
      <c r="AD739" s="152"/>
      <c r="AE739" s="152"/>
      <c r="AF739" s="152"/>
      <c r="AG739" s="152"/>
      <c r="AH739" s="152"/>
      <c r="AI739" s="152"/>
      <c r="AJ739" s="152"/>
      <c r="AK739" s="152"/>
      <c r="AL739" s="152"/>
      <c r="AM739" s="152"/>
    </row>
    <row r="740">
      <c r="A740" s="152"/>
      <c r="B740" s="152"/>
      <c r="C740" s="152"/>
      <c r="D740" s="152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  <c r="AA740" s="152"/>
      <c r="AB740" s="152"/>
      <c r="AC740" s="152"/>
      <c r="AD740" s="152"/>
      <c r="AE740" s="152"/>
      <c r="AF740" s="152"/>
      <c r="AG740" s="152"/>
      <c r="AH740" s="152"/>
      <c r="AI740" s="152"/>
      <c r="AJ740" s="152"/>
      <c r="AK740" s="152"/>
      <c r="AL740" s="152"/>
      <c r="AM740" s="152"/>
    </row>
    <row r="741">
      <c r="A741" s="152"/>
      <c r="B741" s="152"/>
      <c r="C741" s="152"/>
      <c r="D741" s="152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  <c r="AA741" s="152"/>
      <c r="AB741" s="152"/>
      <c r="AC741" s="152"/>
      <c r="AD741" s="152"/>
      <c r="AE741" s="152"/>
      <c r="AF741" s="152"/>
      <c r="AG741" s="152"/>
      <c r="AH741" s="152"/>
      <c r="AI741" s="152"/>
      <c r="AJ741" s="152"/>
      <c r="AK741" s="152"/>
      <c r="AL741" s="152"/>
      <c r="AM741" s="152"/>
    </row>
    <row r="742">
      <c r="A742" s="152"/>
      <c r="B742" s="152"/>
      <c r="C742" s="152"/>
      <c r="D742" s="152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  <c r="AA742" s="152"/>
      <c r="AB742" s="152"/>
      <c r="AC742" s="152"/>
      <c r="AD742" s="152"/>
      <c r="AE742" s="152"/>
      <c r="AF742" s="152"/>
      <c r="AG742" s="152"/>
      <c r="AH742" s="152"/>
      <c r="AI742" s="152"/>
      <c r="AJ742" s="152"/>
      <c r="AK742" s="152"/>
      <c r="AL742" s="152"/>
      <c r="AM742" s="152"/>
    </row>
    <row r="743">
      <c r="A743" s="152"/>
      <c r="B743" s="152"/>
      <c r="C743" s="152"/>
      <c r="D743" s="152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  <c r="AA743" s="152"/>
      <c r="AB743" s="152"/>
      <c r="AC743" s="152"/>
      <c r="AD743" s="152"/>
      <c r="AE743" s="152"/>
      <c r="AF743" s="152"/>
      <c r="AG743" s="152"/>
      <c r="AH743" s="152"/>
      <c r="AI743" s="152"/>
      <c r="AJ743" s="152"/>
      <c r="AK743" s="152"/>
      <c r="AL743" s="152"/>
      <c r="AM743" s="152"/>
    </row>
    <row r="744">
      <c r="A744" s="152"/>
      <c r="B744" s="152"/>
      <c r="C744" s="152"/>
      <c r="D744" s="152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  <c r="AA744" s="152"/>
      <c r="AB744" s="152"/>
      <c r="AC744" s="152"/>
      <c r="AD744" s="152"/>
      <c r="AE744" s="152"/>
      <c r="AF744" s="152"/>
      <c r="AG744" s="152"/>
      <c r="AH744" s="152"/>
      <c r="AI744" s="152"/>
      <c r="AJ744" s="152"/>
      <c r="AK744" s="152"/>
      <c r="AL744" s="152"/>
      <c r="AM744" s="152"/>
    </row>
    <row r="745">
      <c r="A745" s="152"/>
      <c r="B745" s="152"/>
      <c r="C745" s="152"/>
      <c r="D745" s="152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  <c r="AA745" s="152"/>
      <c r="AB745" s="152"/>
      <c r="AC745" s="152"/>
      <c r="AD745" s="152"/>
      <c r="AE745" s="152"/>
      <c r="AF745" s="152"/>
      <c r="AG745" s="152"/>
      <c r="AH745" s="152"/>
      <c r="AI745" s="152"/>
      <c r="AJ745" s="152"/>
      <c r="AK745" s="152"/>
      <c r="AL745" s="152"/>
      <c r="AM745" s="152"/>
    </row>
    <row r="746">
      <c r="A746" s="152"/>
      <c r="B746" s="152"/>
      <c r="C746" s="152"/>
      <c r="D746" s="152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  <c r="AA746" s="152"/>
      <c r="AB746" s="152"/>
      <c r="AC746" s="152"/>
      <c r="AD746" s="152"/>
      <c r="AE746" s="152"/>
      <c r="AF746" s="152"/>
      <c r="AG746" s="152"/>
      <c r="AH746" s="152"/>
      <c r="AI746" s="152"/>
      <c r="AJ746" s="152"/>
      <c r="AK746" s="152"/>
      <c r="AL746" s="152"/>
      <c r="AM746" s="152"/>
    </row>
    <row r="747">
      <c r="A747" s="152"/>
      <c r="B747" s="152"/>
      <c r="C747" s="152"/>
      <c r="D747" s="152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  <c r="AA747" s="152"/>
      <c r="AB747" s="152"/>
      <c r="AC747" s="152"/>
      <c r="AD747" s="152"/>
      <c r="AE747" s="152"/>
      <c r="AF747" s="152"/>
      <c r="AG747" s="152"/>
      <c r="AH747" s="152"/>
      <c r="AI747" s="152"/>
      <c r="AJ747" s="152"/>
      <c r="AK747" s="152"/>
      <c r="AL747" s="152"/>
      <c r="AM747" s="152"/>
    </row>
    <row r="748">
      <c r="A748" s="152"/>
      <c r="B748" s="152"/>
      <c r="C748" s="152"/>
      <c r="D748" s="152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  <c r="AA748" s="152"/>
      <c r="AB748" s="152"/>
      <c r="AC748" s="152"/>
      <c r="AD748" s="152"/>
      <c r="AE748" s="152"/>
      <c r="AF748" s="152"/>
      <c r="AG748" s="152"/>
      <c r="AH748" s="152"/>
      <c r="AI748" s="152"/>
      <c r="AJ748" s="152"/>
      <c r="AK748" s="152"/>
      <c r="AL748" s="152"/>
      <c r="AM748" s="152"/>
    </row>
    <row r="749">
      <c r="A749" s="152"/>
      <c r="B749" s="152"/>
      <c r="C749" s="152"/>
      <c r="D749" s="152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  <c r="AA749" s="152"/>
      <c r="AB749" s="152"/>
      <c r="AC749" s="152"/>
      <c r="AD749" s="152"/>
      <c r="AE749" s="152"/>
      <c r="AF749" s="152"/>
      <c r="AG749" s="152"/>
      <c r="AH749" s="152"/>
      <c r="AI749" s="152"/>
      <c r="AJ749" s="152"/>
      <c r="AK749" s="152"/>
      <c r="AL749" s="152"/>
      <c r="AM749" s="152"/>
    </row>
    <row r="750">
      <c r="A750" s="152"/>
      <c r="B750" s="152"/>
      <c r="C750" s="152"/>
      <c r="D750" s="152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  <c r="AA750" s="152"/>
      <c r="AB750" s="152"/>
      <c r="AC750" s="152"/>
      <c r="AD750" s="152"/>
      <c r="AE750" s="152"/>
      <c r="AF750" s="152"/>
      <c r="AG750" s="152"/>
      <c r="AH750" s="152"/>
      <c r="AI750" s="152"/>
      <c r="AJ750" s="152"/>
      <c r="AK750" s="152"/>
      <c r="AL750" s="152"/>
      <c r="AM750" s="152"/>
    </row>
    <row r="751">
      <c r="A751" s="152"/>
      <c r="B751" s="152"/>
      <c r="C751" s="152"/>
      <c r="D751" s="152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  <c r="AA751" s="152"/>
      <c r="AB751" s="152"/>
      <c r="AC751" s="152"/>
      <c r="AD751" s="152"/>
      <c r="AE751" s="152"/>
      <c r="AF751" s="152"/>
      <c r="AG751" s="152"/>
      <c r="AH751" s="152"/>
      <c r="AI751" s="152"/>
      <c r="AJ751" s="152"/>
      <c r="AK751" s="152"/>
      <c r="AL751" s="152"/>
      <c r="AM751" s="152"/>
    </row>
    <row r="752">
      <c r="A752" s="152"/>
      <c r="B752" s="152"/>
      <c r="C752" s="152"/>
      <c r="D752" s="152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  <c r="AA752" s="152"/>
      <c r="AB752" s="152"/>
      <c r="AC752" s="152"/>
      <c r="AD752" s="152"/>
      <c r="AE752" s="152"/>
      <c r="AF752" s="152"/>
      <c r="AG752" s="152"/>
      <c r="AH752" s="152"/>
      <c r="AI752" s="152"/>
      <c r="AJ752" s="152"/>
      <c r="AK752" s="152"/>
      <c r="AL752" s="152"/>
      <c r="AM752" s="152"/>
    </row>
    <row r="753">
      <c r="A753" s="152"/>
      <c r="B753" s="152"/>
      <c r="C753" s="152"/>
      <c r="D753" s="152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  <c r="AA753" s="152"/>
      <c r="AB753" s="152"/>
      <c r="AC753" s="152"/>
      <c r="AD753" s="152"/>
      <c r="AE753" s="152"/>
      <c r="AF753" s="152"/>
      <c r="AG753" s="152"/>
      <c r="AH753" s="152"/>
      <c r="AI753" s="152"/>
      <c r="AJ753" s="152"/>
      <c r="AK753" s="152"/>
      <c r="AL753" s="152"/>
      <c r="AM753" s="152"/>
    </row>
    <row r="754">
      <c r="A754" s="152"/>
      <c r="B754" s="152"/>
      <c r="C754" s="152"/>
      <c r="D754" s="152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  <c r="AA754" s="152"/>
      <c r="AB754" s="152"/>
      <c r="AC754" s="152"/>
      <c r="AD754" s="152"/>
      <c r="AE754" s="152"/>
      <c r="AF754" s="152"/>
      <c r="AG754" s="152"/>
      <c r="AH754" s="152"/>
      <c r="AI754" s="152"/>
      <c r="AJ754" s="152"/>
      <c r="AK754" s="152"/>
      <c r="AL754" s="152"/>
      <c r="AM754" s="152"/>
    </row>
    <row r="755">
      <c r="A755" s="152"/>
      <c r="B755" s="152"/>
      <c r="C755" s="152"/>
      <c r="D755" s="152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  <c r="AA755" s="152"/>
      <c r="AB755" s="152"/>
      <c r="AC755" s="152"/>
      <c r="AD755" s="152"/>
      <c r="AE755" s="152"/>
      <c r="AF755" s="152"/>
      <c r="AG755" s="152"/>
      <c r="AH755" s="152"/>
      <c r="AI755" s="152"/>
      <c r="AJ755" s="152"/>
      <c r="AK755" s="152"/>
      <c r="AL755" s="152"/>
      <c r="AM755" s="152"/>
    </row>
    <row r="756">
      <c r="A756" s="152"/>
      <c r="B756" s="152"/>
      <c r="C756" s="152"/>
      <c r="D756" s="152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  <c r="AA756" s="152"/>
      <c r="AB756" s="152"/>
      <c r="AC756" s="152"/>
      <c r="AD756" s="152"/>
      <c r="AE756" s="152"/>
      <c r="AF756" s="152"/>
      <c r="AG756" s="152"/>
      <c r="AH756" s="152"/>
      <c r="AI756" s="152"/>
      <c r="AJ756" s="152"/>
      <c r="AK756" s="152"/>
      <c r="AL756" s="152"/>
      <c r="AM756" s="152"/>
    </row>
    <row r="757">
      <c r="A757" s="152"/>
      <c r="B757" s="152"/>
      <c r="C757" s="152"/>
      <c r="D757" s="152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  <c r="AA757" s="152"/>
      <c r="AB757" s="152"/>
      <c r="AC757" s="152"/>
      <c r="AD757" s="152"/>
      <c r="AE757" s="152"/>
      <c r="AF757" s="152"/>
      <c r="AG757" s="152"/>
      <c r="AH757" s="152"/>
      <c r="AI757" s="152"/>
      <c r="AJ757" s="152"/>
      <c r="AK757" s="152"/>
      <c r="AL757" s="152"/>
      <c r="AM757" s="152"/>
    </row>
    <row r="758">
      <c r="A758" s="152"/>
      <c r="B758" s="152"/>
      <c r="C758" s="152"/>
      <c r="D758" s="152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  <c r="AA758" s="152"/>
      <c r="AB758" s="152"/>
      <c r="AC758" s="152"/>
      <c r="AD758" s="152"/>
      <c r="AE758" s="152"/>
      <c r="AF758" s="152"/>
      <c r="AG758" s="152"/>
      <c r="AH758" s="152"/>
      <c r="AI758" s="152"/>
      <c r="AJ758" s="152"/>
      <c r="AK758" s="152"/>
      <c r="AL758" s="152"/>
      <c r="AM758" s="152"/>
    </row>
    <row r="759">
      <c r="A759" s="152"/>
      <c r="B759" s="152"/>
      <c r="C759" s="152"/>
      <c r="D759" s="152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  <c r="AA759" s="152"/>
      <c r="AB759" s="152"/>
      <c r="AC759" s="152"/>
      <c r="AD759" s="152"/>
      <c r="AE759" s="152"/>
      <c r="AF759" s="152"/>
      <c r="AG759" s="152"/>
      <c r="AH759" s="152"/>
      <c r="AI759" s="152"/>
      <c r="AJ759" s="152"/>
      <c r="AK759" s="152"/>
      <c r="AL759" s="152"/>
      <c r="AM759" s="152"/>
    </row>
    <row r="760">
      <c r="A760" s="152"/>
      <c r="B760" s="152"/>
      <c r="C760" s="152"/>
      <c r="D760" s="152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  <c r="AA760" s="152"/>
      <c r="AB760" s="152"/>
      <c r="AC760" s="152"/>
      <c r="AD760" s="152"/>
      <c r="AE760" s="152"/>
      <c r="AF760" s="152"/>
      <c r="AG760" s="152"/>
      <c r="AH760" s="152"/>
      <c r="AI760" s="152"/>
      <c r="AJ760" s="152"/>
      <c r="AK760" s="152"/>
      <c r="AL760" s="152"/>
      <c r="AM760" s="152"/>
    </row>
    <row r="761">
      <c r="A761" s="152"/>
      <c r="B761" s="152"/>
      <c r="C761" s="152"/>
      <c r="D761" s="152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  <c r="AA761" s="152"/>
      <c r="AB761" s="152"/>
      <c r="AC761" s="152"/>
      <c r="AD761" s="152"/>
      <c r="AE761" s="152"/>
      <c r="AF761" s="152"/>
      <c r="AG761" s="152"/>
      <c r="AH761" s="152"/>
      <c r="AI761" s="152"/>
      <c r="AJ761" s="152"/>
      <c r="AK761" s="152"/>
      <c r="AL761" s="152"/>
      <c r="AM761" s="152"/>
    </row>
    <row r="762">
      <c r="A762" s="152"/>
      <c r="B762" s="152"/>
      <c r="C762" s="152"/>
      <c r="D762" s="152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  <c r="AA762" s="152"/>
      <c r="AB762" s="152"/>
      <c r="AC762" s="152"/>
      <c r="AD762" s="152"/>
      <c r="AE762" s="152"/>
      <c r="AF762" s="152"/>
      <c r="AG762" s="152"/>
      <c r="AH762" s="152"/>
      <c r="AI762" s="152"/>
      <c r="AJ762" s="152"/>
      <c r="AK762" s="152"/>
      <c r="AL762" s="152"/>
      <c r="AM762" s="152"/>
    </row>
    <row r="763">
      <c r="A763" s="152"/>
      <c r="B763" s="152"/>
      <c r="C763" s="152"/>
      <c r="D763" s="152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  <c r="AA763" s="152"/>
      <c r="AB763" s="152"/>
      <c r="AC763" s="152"/>
      <c r="AD763" s="152"/>
      <c r="AE763" s="152"/>
      <c r="AF763" s="152"/>
      <c r="AG763" s="152"/>
      <c r="AH763" s="152"/>
      <c r="AI763" s="152"/>
      <c r="AJ763" s="152"/>
      <c r="AK763" s="152"/>
      <c r="AL763" s="152"/>
      <c r="AM763" s="152"/>
    </row>
    <row r="764">
      <c r="A764" s="152"/>
      <c r="B764" s="152"/>
      <c r="C764" s="152"/>
      <c r="D764" s="152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  <c r="AA764" s="152"/>
      <c r="AB764" s="152"/>
      <c r="AC764" s="152"/>
      <c r="AD764" s="152"/>
      <c r="AE764" s="152"/>
      <c r="AF764" s="152"/>
      <c r="AG764" s="152"/>
      <c r="AH764" s="152"/>
      <c r="AI764" s="152"/>
      <c r="AJ764" s="152"/>
      <c r="AK764" s="152"/>
      <c r="AL764" s="152"/>
      <c r="AM764" s="152"/>
    </row>
    <row r="765">
      <c r="A765" s="152"/>
      <c r="B765" s="152"/>
      <c r="C765" s="152"/>
      <c r="D765" s="152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  <c r="AA765" s="152"/>
      <c r="AB765" s="152"/>
      <c r="AC765" s="152"/>
      <c r="AD765" s="152"/>
      <c r="AE765" s="152"/>
      <c r="AF765" s="152"/>
      <c r="AG765" s="152"/>
      <c r="AH765" s="152"/>
      <c r="AI765" s="152"/>
      <c r="AJ765" s="152"/>
      <c r="AK765" s="152"/>
      <c r="AL765" s="152"/>
      <c r="AM765" s="152"/>
    </row>
    <row r="766">
      <c r="A766" s="152"/>
      <c r="B766" s="152"/>
      <c r="C766" s="152"/>
      <c r="D766" s="152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  <c r="AA766" s="152"/>
      <c r="AB766" s="152"/>
      <c r="AC766" s="152"/>
      <c r="AD766" s="152"/>
      <c r="AE766" s="152"/>
      <c r="AF766" s="152"/>
      <c r="AG766" s="152"/>
      <c r="AH766" s="152"/>
      <c r="AI766" s="152"/>
      <c r="AJ766" s="152"/>
      <c r="AK766" s="152"/>
      <c r="AL766" s="152"/>
      <c r="AM766" s="152"/>
    </row>
    <row r="767">
      <c r="A767" s="152"/>
      <c r="B767" s="152"/>
      <c r="C767" s="152"/>
      <c r="D767" s="152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  <c r="AA767" s="152"/>
      <c r="AB767" s="152"/>
      <c r="AC767" s="152"/>
      <c r="AD767" s="152"/>
      <c r="AE767" s="152"/>
      <c r="AF767" s="152"/>
      <c r="AG767" s="152"/>
      <c r="AH767" s="152"/>
      <c r="AI767" s="152"/>
      <c r="AJ767" s="152"/>
      <c r="AK767" s="152"/>
      <c r="AL767" s="152"/>
      <c r="AM767" s="152"/>
    </row>
    <row r="768">
      <c r="A768" s="152"/>
      <c r="B768" s="152"/>
      <c r="C768" s="152"/>
      <c r="D768" s="152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  <c r="AA768" s="152"/>
      <c r="AB768" s="152"/>
      <c r="AC768" s="152"/>
      <c r="AD768" s="152"/>
      <c r="AE768" s="152"/>
      <c r="AF768" s="152"/>
      <c r="AG768" s="152"/>
      <c r="AH768" s="152"/>
      <c r="AI768" s="152"/>
      <c r="AJ768" s="152"/>
      <c r="AK768" s="152"/>
      <c r="AL768" s="152"/>
      <c r="AM768" s="152"/>
    </row>
    <row r="769">
      <c r="A769" s="152"/>
      <c r="B769" s="152"/>
      <c r="C769" s="152"/>
      <c r="D769" s="152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  <c r="AA769" s="152"/>
      <c r="AB769" s="152"/>
      <c r="AC769" s="152"/>
      <c r="AD769" s="152"/>
      <c r="AE769" s="152"/>
      <c r="AF769" s="152"/>
      <c r="AG769" s="152"/>
      <c r="AH769" s="152"/>
      <c r="AI769" s="152"/>
      <c r="AJ769" s="152"/>
      <c r="AK769" s="152"/>
      <c r="AL769" s="152"/>
      <c r="AM769" s="152"/>
    </row>
    <row r="770">
      <c r="A770" s="152"/>
      <c r="B770" s="152"/>
      <c r="C770" s="152"/>
      <c r="D770" s="152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  <c r="AA770" s="152"/>
      <c r="AB770" s="152"/>
      <c r="AC770" s="152"/>
      <c r="AD770" s="152"/>
      <c r="AE770" s="152"/>
      <c r="AF770" s="152"/>
      <c r="AG770" s="152"/>
      <c r="AH770" s="152"/>
      <c r="AI770" s="152"/>
      <c r="AJ770" s="152"/>
      <c r="AK770" s="152"/>
      <c r="AL770" s="152"/>
      <c r="AM770" s="152"/>
    </row>
    <row r="771">
      <c r="A771" s="152"/>
      <c r="B771" s="152"/>
      <c r="C771" s="152"/>
      <c r="D771" s="152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  <c r="AA771" s="152"/>
      <c r="AB771" s="152"/>
      <c r="AC771" s="152"/>
      <c r="AD771" s="152"/>
      <c r="AE771" s="152"/>
      <c r="AF771" s="152"/>
      <c r="AG771" s="152"/>
      <c r="AH771" s="152"/>
      <c r="AI771" s="152"/>
      <c r="AJ771" s="152"/>
      <c r="AK771" s="152"/>
      <c r="AL771" s="152"/>
      <c r="AM771" s="152"/>
    </row>
    <row r="772">
      <c r="A772" s="152"/>
      <c r="B772" s="152"/>
      <c r="C772" s="152"/>
      <c r="D772" s="152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  <c r="AA772" s="152"/>
      <c r="AB772" s="152"/>
      <c r="AC772" s="152"/>
      <c r="AD772" s="152"/>
      <c r="AE772" s="152"/>
      <c r="AF772" s="152"/>
      <c r="AG772" s="152"/>
      <c r="AH772" s="152"/>
      <c r="AI772" s="152"/>
      <c r="AJ772" s="152"/>
      <c r="AK772" s="152"/>
      <c r="AL772" s="152"/>
      <c r="AM772" s="152"/>
    </row>
    <row r="773">
      <c r="A773" s="152"/>
      <c r="B773" s="152"/>
      <c r="C773" s="152"/>
      <c r="D773" s="152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  <c r="AA773" s="152"/>
      <c r="AB773" s="152"/>
      <c r="AC773" s="152"/>
      <c r="AD773" s="152"/>
      <c r="AE773" s="152"/>
      <c r="AF773" s="152"/>
      <c r="AG773" s="152"/>
      <c r="AH773" s="152"/>
      <c r="AI773" s="152"/>
      <c r="AJ773" s="152"/>
      <c r="AK773" s="152"/>
      <c r="AL773" s="152"/>
      <c r="AM773" s="152"/>
    </row>
    <row r="774">
      <c r="A774" s="152"/>
      <c r="B774" s="152"/>
      <c r="C774" s="152"/>
      <c r="D774" s="152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  <c r="AA774" s="152"/>
      <c r="AB774" s="152"/>
      <c r="AC774" s="152"/>
      <c r="AD774" s="152"/>
      <c r="AE774" s="152"/>
      <c r="AF774" s="152"/>
      <c r="AG774" s="152"/>
      <c r="AH774" s="152"/>
      <c r="AI774" s="152"/>
      <c r="AJ774" s="152"/>
      <c r="AK774" s="152"/>
      <c r="AL774" s="152"/>
      <c r="AM774" s="152"/>
    </row>
    <row r="775">
      <c r="A775" s="152"/>
      <c r="B775" s="152"/>
      <c r="C775" s="152"/>
      <c r="D775" s="152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  <c r="AA775" s="152"/>
      <c r="AB775" s="152"/>
      <c r="AC775" s="152"/>
      <c r="AD775" s="152"/>
      <c r="AE775" s="152"/>
      <c r="AF775" s="152"/>
      <c r="AG775" s="152"/>
      <c r="AH775" s="152"/>
      <c r="AI775" s="152"/>
      <c r="AJ775" s="152"/>
      <c r="AK775" s="152"/>
      <c r="AL775" s="152"/>
      <c r="AM775" s="152"/>
    </row>
    <row r="776">
      <c r="A776" s="152"/>
      <c r="B776" s="152"/>
      <c r="C776" s="152"/>
      <c r="D776" s="152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  <c r="AA776" s="152"/>
      <c r="AB776" s="152"/>
      <c r="AC776" s="152"/>
      <c r="AD776" s="152"/>
      <c r="AE776" s="152"/>
      <c r="AF776" s="152"/>
      <c r="AG776" s="152"/>
      <c r="AH776" s="152"/>
      <c r="AI776" s="152"/>
      <c r="AJ776" s="152"/>
      <c r="AK776" s="152"/>
      <c r="AL776" s="152"/>
      <c r="AM776" s="152"/>
    </row>
    <row r="777">
      <c r="A777" s="152"/>
      <c r="B777" s="152"/>
      <c r="C777" s="152"/>
      <c r="D777" s="152"/>
      <c r="E777" s="152"/>
      <c r="F777" s="152"/>
      <c r="G777" s="152"/>
      <c r="H777" s="152"/>
      <c r="I777" s="152"/>
      <c r="J777" s="152"/>
      <c r="K777" s="152"/>
      <c r="L777" s="152"/>
      <c r="M777" s="152"/>
      <c r="N777" s="152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  <c r="AA777" s="152"/>
      <c r="AB777" s="152"/>
      <c r="AC777" s="152"/>
      <c r="AD777" s="152"/>
      <c r="AE777" s="152"/>
      <c r="AF777" s="152"/>
      <c r="AG777" s="152"/>
      <c r="AH777" s="152"/>
      <c r="AI777" s="152"/>
      <c r="AJ777" s="152"/>
      <c r="AK777" s="152"/>
      <c r="AL777" s="152"/>
      <c r="AM777" s="152"/>
    </row>
    <row r="778">
      <c r="A778" s="152"/>
      <c r="B778" s="152"/>
      <c r="C778" s="152"/>
      <c r="D778" s="152"/>
      <c r="E778" s="152"/>
      <c r="F778" s="152"/>
      <c r="G778" s="152"/>
      <c r="H778" s="152"/>
      <c r="I778" s="152"/>
      <c r="J778" s="152"/>
      <c r="K778" s="152"/>
      <c r="L778" s="152"/>
      <c r="M778" s="152"/>
      <c r="N778" s="152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  <c r="AA778" s="152"/>
      <c r="AB778" s="152"/>
      <c r="AC778" s="152"/>
      <c r="AD778" s="152"/>
      <c r="AE778" s="152"/>
      <c r="AF778" s="152"/>
      <c r="AG778" s="152"/>
      <c r="AH778" s="152"/>
      <c r="AI778" s="152"/>
      <c r="AJ778" s="152"/>
      <c r="AK778" s="152"/>
      <c r="AL778" s="152"/>
      <c r="AM778" s="152"/>
    </row>
    <row r="779">
      <c r="A779" s="152"/>
      <c r="B779" s="152"/>
      <c r="C779" s="152"/>
      <c r="D779" s="152"/>
      <c r="E779" s="152"/>
      <c r="F779" s="152"/>
      <c r="G779" s="152"/>
      <c r="H779" s="152"/>
      <c r="I779" s="152"/>
      <c r="J779" s="152"/>
      <c r="K779" s="152"/>
      <c r="L779" s="152"/>
      <c r="M779" s="152"/>
      <c r="N779" s="152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  <c r="AA779" s="152"/>
      <c r="AB779" s="152"/>
      <c r="AC779" s="152"/>
      <c r="AD779" s="152"/>
      <c r="AE779" s="152"/>
      <c r="AF779" s="152"/>
      <c r="AG779" s="152"/>
      <c r="AH779" s="152"/>
      <c r="AI779" s="152"/>
      <c r="AJ779" s="152"/>
      <c r="AK779" s="152"/>
      <c r="AL779" s="152"/>
      <c r="AM779" s="152"/>
    </row>
    <row r="780">
      <c r="A780" s="152"/>
      <c r="B780" s="152"/>
      <c r="C780" s="152"/>
      <c r="D780" s="152"/>
      <c r="E780" s="152"/>
      <c r="F780" s="152"/>
      <c r="G780" s="152"/>
      <c r="H780" s="152"/>
      <c r="I780" s="152"/>
      <c r="J780" s="152"/>
      <c r="K780" s="152"/>
      <c r="L780" s="152"/>
      <c r="M780" s="152"/>
      <c r="N780" s="152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  <c r="AA780" s="152"/>
      <c r="AB780" s="152"/>
      <c r="AC780" s="152"/>
      <c r="AD780" s="152"/>
      <c r="AE780" s="152"/>
      <c r="AF780" s="152"/>
      <c r="AG780" s="152"/>
      <c r="AH780" s="152"/>
      <c r="AI780" s="152"/>
      <c r="AJ780" s="152"/>
      <c r="AK780" s="152"/>
      <c r="AL780" s="152"/>
      <c r="AM780" s="152"/>
    </row>
    <row r="781">
      <c r="A781" s="152"/>
      <c r="B781" s="152"/>
      <c r="C781" s="152"/>
      <c r="D781" s="152"/>
      <c r="E781" s="152"/>
      <c r="F781" s="152"/>
      <c r="G781" s="152"/>
      <c r="H781" s="152"/>
      <c r="I781" s="152"/>
      <c r="J781" s="152"/>
      <c r="K781" s="152"/>
      <c r="L781" s="152"/>
      <c r="M781" s="152"/>
      <c r="N781" s="152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  <c r="AA781" s="152"/>
      <c r="AB781" s="152"/>
      <c r="AC781" s="152"/>
      <c r="AD781" s="152"/>
      <c r="AE781" s="152"/>
      <c r="AF781" s="152"/>
      <c r="AG781" s="152"/>
      <c r="AH781" s="152"/>
      <c r="AI781" s="152"/>
      <c r="AJ781" s="152"/>
      <c r="AK781" s="152"/>
      <c r="AL781" s="152"/>
      <c r="AM781" s="152"/>
    </row>
    <row r="782">
      <c r="A782" s="152"/>
      <c r="B782" s="152"/>
      <c r="C782" s="152"/>
      <c r="D782" s="152"/>
      <c r="E782" s="152"/>
      <c r="F782" s="152"/>
      <c r="G782" s="152"/>
      <c r="H782" s="152"/>
      <c r="I782" s="152"/>
      <c r="J782" s="152"/>
      <c r="K782" s="152"/>
      <c r="L782" s="152"/>
      <c r="M782" s="152"/>
      <c r="N782" s="152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  <c r="AA782" s="152"/>
      <c r="AB782" s="152"/>
      <c r="AC782" s="152"/>
      <c r="AD782" s="152"/>
      <c r="AE782" s="152"/>
      <c r="AF782" s="152"/>
      <c r="AG782" s="152"/>
      <c r="AH782" s="152"/>
      <c r="AI782" s="152"/>
      <c r="AJ782" s="152"/>
      <c r="AK782" s="152"/>
      <c r="AL782" s="152"/>
      <c r="AM782" s="152"/>
    </row>
    <row r="783">
      <c r="A783" s="152"/>
      <c r="B783" s="152"/>
      <c r="C783" s="152"/>
      <c r="D783" s="152"/>
      <c r="E783" s="152"/>
      <c r="F783" s="152"/>
      <c r="G783" s="152"/>
      <c r="H783" s="152"/>
      <c r="I783" s="152"/>
      <c r="J783" s="152"/>
      <c r="K783" s="152"/>
      <c r="L783" s="152"/>
      <c r="M783" s="152"/>
      <c r="N783" s="152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  <c r="AA783" s="152"/>
      <c r="AB783" s="152"/>
      <c r="AC783" s="152"/>
      <c r="AD783" s="152"/>
      <c r="AE783" s="152"/>
      <c r="AF783" s="152"/>
      <c r="AG783" s="152"/>
      <c r="AH783" s="152"/>
      <c r="AI783" s="152"/>
      <c r="AJ783" s="152"/>
      <c r="AK783" s="152"/>
      <c r="AL783" s="152"/>
      <c r="AM783" s="152"/>
    </row>
    <row r="784">
      <c r="A784" s="152"/>
      <c r="B784" s="152"/>
      <c r="C784" s="152"/>
      <c r="D784" s="152"/>
      <c r="E784" s="152"/>
      <c r="F784" s="152"/>
      <c r="G784" s="152"/>
      <c r="H784" s="152"/>
      <c r="I784" s="152"/>
      <c r="J784" s="152"/>
      <c r="K784" s="152"/>
      <c r="L784" s="152"/>
      <c r="M784" s="152"/>
      <c r="N784" s="152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  <c r="AA784" s="152"/>
      <c r="AB784" s="152"/>
      <c r="AC784" s="152"/>
      <c r="AD784" s="152"/>
      <c r="AE784" s="152"/>
      <c r="AF784" s="152"/>
      <c r="AG784" s="152"/>
      <c r="AH784" s="152"/>
      <c r="AI784" s="152"/>
      <c r="AJ784" s="152"/>
      <c r="AK784" s="152"/>
      <c r="AL784" s="152"/>
      <c r="AM784" s="152"/>
    </row>
    <row r="785">
      <c r="A785" s="152"/>
      <c r="B785" s="152"/>
      <c r="C785" s="152"/>
      <c r="D785" s="152"/>
      <c r="E785" s="152"/>
      <c r="F785" s="152"/>
      <c r="G785" s="152"/>
      <c r="H785" s="152"/>
      <c r="I785" s="152"/>
      <c r="J785" s="152"/>
      <c r="K785" s="152"/>
      <c r="L785" s="152"/>
      <c r="M785" s="152"/>
      <c r="N785" s="152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  <c r="AA785" s="152"/>
      <c r="AB785" s="152"/>
      <c r="AC785" s="152"/>
      <c r="AD785" s="152"/>
      <c r="AE785" s="152"/>
      <c r="AF785" s="152"/>
      <c r="AG785" s="152"/>
      <c r="AH785" s="152"/>
      <c r="AI785" s="152"/>
      <c r="AJ785" s="152"/>
      <c r="AK785" s="152"/>
      <c r="AL785" s="152"/>
      <c r="AM785" s="152"/>
    </row>
    <row r="786">
      <c r="A786" s="152"/>
      <c r="B786" s="152"/>
      <c r="C786" s="152"/>
      <c r="D786" s="152"/>
      <c r="E786" s="152"/>
      <c r="F786" s="152"/>
      <c r="G786" s="152"/>
      <c r="H786" s="152"/>
      <c r="I786" s="152"/>
      <c r="J786" s="152"/>
      <c r="K786" s="152"/>
      <c r="L786" s="152"/>
      <c r="M786" s="152"/>
      <c r="N786" s="152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  <c r="AA786" s="152"/>
      <c r="AB786" s="152"/>
      <c r="AC786" s="152"/>
      <c r="AD786" s="152"/>
      <c r="AE786" s="152"/>
      <c r="AF786" s="152"/>
      <c r="AG786" s="152"/>
      <c r="AH786" s="152"/>
      <c r="AI786" s="152"/>
      <c r="AJ786" s="152"/>
      <c r="AK786" s="152"/>
      <c r="AL786" s="152"/>
      <c r="AM786" s="152"/>
    </row>
    <row r="787">
      <c r="A787" s="152"/>
      <c r="B787" s="152"/>
      <c r="C787" s="152"/>
      <c r="D787" s="152"/>
      <c r="E787" s="152"/>
      <c r="F787" s="152"/>
      <c r="G787" s="152"/>
      <c r="H787" s="152"/>
      <c r="I787" s="152"/>
      <c r="J787" s="152"/>
      <c r="K787" s="152"/>
      <c r="L787" s="152"/>
      <c r="M787" s="152"/>
      <c r="N787" s="152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  <c r="AA787" s="152"/>
      <c r="AB787" s="152"/>
      <c r="AC787" s="152"/>
      <c r="AD787" s="152"/>
      <c r="AE787" s="152"/>
      <c r="AF787" s="152"/>
      <c r="AG787" s="152"/>
      <c r="AH787" s="152"/>
      <c r="AI787" s="152"/>
      <c r="AJ787" s="152"/>
      <c r="AK787" s="152"/>
      <c r="AL787" s="152"/>
      <c r="AM787" s="152"/>
    </row>
    <row r="788">
      <c r="A788" s="152"/>
      <c r="B788" s="152"/>
      <c r="C788" s="152"/>
      <c r="D788" s="152"/>
      <c r="E788" s="152"/>
      <c r="F788" s="152"/>
      <c r="G788" s="152"/>
      <c r="H788" s="152"/>
      <c r="I788" s="152"/>
      <c r="J788" s="152"/>
      <c r="K788" s="152"/>
      <c r="L788" s="152"/>
      <c r="M788" s="152"/>
      <c r="N788" s="152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  <c r="AA788" s="152"/>
      <c r="AB788" s="152"/>
      <c r="AC788" s="152"/>
      <c r="AD788" s="152"/>
      <c r="AE788" s="152"/>
      <c r="AF788" s="152"/>
      <c r="AG788" s="152"/>
      <c r="AH788" s="152"/>
      <c r="AI788" s="152"/>
      <c r="AJ788" s="152"/>
      <c r="AK788" s="152"/>
      <c r="AL788" s="152"/>
      <c r="AM788" s="152"/>
    </row>
    <row r="789">
      <c r="A789" s="152"/>
      <c r="B789" s="152"/>
      <c r="C789" s="152"/>
      <c r="D789" s="152"/>
      <c r="E789" s="152"/>
      <c r="F789" s="152"/>
      <c r="G789" s="152"/>
      <c r="H789" s="152"/>
      <c r="I789" s="152"/>
      <c r="J789" s="152"/>
      <c r="K789" s="152"/>
      <c r="L789" s="152"/>
      <c r="M789" s="152"/>
      <c r="N789" s="152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  <c r="AA789" s="152"/>
      <c r="AB789" s="152"/>
      <c r="AC789" s="152"/>
      <c r="AD789" s="152"/>
      <c r="AE789" s="152"/>
      <c r="AF789" s="152"/>
      <c r="AG789" s="152"/>
      <c r="AH789" s="152"/>
      <c r="AI789" s="152"/>
      <c r="AJ789" s="152"/>
      <c r="AK789" s="152"/>
      <c r="AL789" s="152"/>
      <c r="AM789" s="152"/>
    </row>
    <row r="790">
      <c r="A790" s="152"/>
      <c r="B790" s="152"/>
      <c r="C790" s="152"/>
      <c r="D790" s="152"/>
      <c r="E790" s="152"/>
      <c r="F790" s="152"/>
      <c r="G790" s="152"/>
      <c r="H790" s="152"/>
      <c r="I790" s="152"/>
      <c r="J790" s="152"/>
      <c r="K790" s="152"/>
      <c r="L790" s="152"/>
      <c r="M790" s="152"/>
      <c r="N790" s="152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  <c r="AA790" s="152"/>
      <c r="AB790" s="152"/>
      <c r="AC790" s="152"/>
      <c r="AD790" s="152"/>
      <c r="AE790" s="152"/>
      <c r="AF790" s="152"/>
      <c r="AG790" s="152"/>
      <c r="AH790" s="152"/>
      <c r="AI790" s="152"/>
      <c r="AJ790" s="152"/>
      <c r="AK790" s="152"/>
      <c r="AL790" s="152"/>
      <c r="AM790" s="152"/>
    </row>
    <row r="791">
      <c r="A791" s="152"/>
      <c r="B791" s="152"/>
      <c r="C791" s="152"/>
      <c r="D791" s="152"/>
      <c r="E791" s="152"/>
      <c r="F791" s="152"/>
      <c r="G791" s="152"/>
      <c r="H791" s="152"/>
      <c r="I791" s="152"/>
      <c r="J791" s="152"/>
      <c r="K791" s="152"/>
      <c r="L791" s="152"/>
      <c r="M791" s="152"/>
      <c r="N791" s="152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  <c r="AA791" s="152"/>
      <c r="AB791" s="152"/>
      <c r="AC791" s="152"/>
      <c r="AD791" s="152"/>
      <c r="AE791" s="152"/>
      <c r="AF791" s="152"/>
      <c r="AG791" s="152"/>
      <c r="AH791" s="152"/>
      <c r="AI791" s="152"/>
      <c r="AJ791" s="152"/>
      <c r="AK791" s="152"/>
      <c r="AL791" s="152"/>
      <c r="AM791" s="152"/>
    </row>
    <row r="792">
      <c r="A792" s="152"/>
      <c r="B792" s="152"/>
      <c r="C792" s="152"/>
      <c r="D792" s="152"/>
      <c r="E792" s="152"/>
      <c r="F792" s="152"/>
      <c r="G792" s="152"/>
      <c r="H792" s="152"/>
      <c r="I792" s="152"/>
      <c r="J792" s="152"/>
      <c r="K792" s="152"/>
      <c r="L792" s="152"/>
      <c r="M792" s="152"/>
      <c r="N792" s="152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  <c r="AA792" s="152"/>
      <c r="AB792" s="152"/>
      <c r="AC792" s="152"/>
      <c r="AD792" s="152"/>
      <c r="AE792" s="152"/>
      <c r="AF792" s="152"/>
      <c r="AG792" s="152"/>
      <c r="AH792" s="152"/>
      <c r="AI792" s="152"/>
      <c r="AJ792" s="152"/>
      <c r="AK792" s="152"/>
      <c r="AL792" s="152"/>
      <c r="AM792" s="152"/>
    </row>
    <row r="793">
      <c r="A793" s="152"/>
      <c r="B793" s="152"/>
      <c r="C793" s="152"/>
      <c r="D793" s="152"/>
      <c r="E793" s="152"/>
      <c r="F793" s="152"/>
      <c r="G793" s="152"/>
      <c r="H793" s="152"/>
      <c r="I793" s="152"/>
      <c r="J793" s="152"/>
      <c r="K793" s="152"/>
      <c r="L793" s="152"/>
      <c r="M793" s="152"/>
      <c r="N793" s="152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  <c r="AA793" s="152"/>
      <c r="AB793" s="152"/>
      <c r="AC793" s="152"/>
      <c r="AD793" s="152"/>
      <c r="AE793" s="152"/>
      <c r="AF793" s="152"/>
      <c r="AG793" s="152"/>
      <c r="AH793" s="152"/>
      <c r="AI793" s="152"/>
      <c r="AJ793" s="152"/>
      <c r="AK793" s="152"/>
      <c r="AL793" s="152"/>
      <c r="AM793" s="152"/>
    </row>
    <row r="794">
      <c r="A794" s="152"/>
      <c r="B794" s="152"/>
      <c r="C794" s="152"/>
      <c r="D794" s="152"/>
      <c r="E794" s="152"/>
      <c r="F794" s="152"/>
      <c r="G794" s="152"/>
      <c r="H794" s="152"/>
      <c r="I794" s="152"/>
      <c r="J794" s="152"/>
      <c r="K794" s="152"/>
      <c r="L794" s="152"/>
      <c r="M794" s="152"/>
      <c r="N794" s="152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  <c r="AA794" s="152"/>
      <c r="AB794" s="152"/>
      <c r="AC794" s="152"/>
      <c r="AD794" s="152"/>
      <c r="AE794" s="152"/>
      <c r="AF794" s="152"/>
      <c r="AG794" s="152"/>
      <c r="AH794" s="152"/>
      <c r="AI794" s="152"/>
      <c r="AJ794" s="152"/>
      <c r="AK794" s="152"/>
      <c r="AL794" s="152"/>
      <c r="AM794" s="152"/>
    </row>
    <row r="795">
      <c r="A795" s="152"/>
      <c r="B795" s="152"/>
      <c r="C795" s="152"/>
      <c r="D795" s="152"/>
      <c r="E795" s="152"/>
      <c r="F795" s="152"/>
      <c r="G795" s="152"/>
      <c r="H795" s="152"/>
      <c r="I795" s="152"/>
      <c r="J795" s="152"/>
      <c r="K795" s="152"/>
      <c r="L795" s="152"/>
      <c r="M795" s="152"/>
      <c r="N795" s="152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  <c r="AA795" s="152"/>
      <c r="AB795" s="152"/>
      <c r="AC795" s="152"/>
      <c r="AD795" s="152"/>
      <c r="AE795" s="152"/>
      <c r="AF795" s="152"/>
      <c r="AG795" s="152"/>
      <c r="AH795" s="152"/>
      <c r="AI795" s="152"/>
      <c r="AJ795" s="152"/>
      <c r="AK795" s="152"/>
      <c r="AL795" s="152"/>
      <c r="AM795" s="152"/>
    </row>
    <row r="796">
      <c r="A796" s="152"/>
      <c r="B796" s="152"/>
      <c r="C796" s="152"/>
      <c r="D796" s="152"/>
      <c r="E796" s="152"/>
      <c r="F796" s="152"/>
      <c r="G796" s="152"/>
      <c r="H796" s="152"/>
      <c r="I796" s="152"/>
      <c r="J796" s="152"/>
      <c r="K796" s="152"/>
      <c r="L796" s="152"/>
      <c r="M796" s="152"/>
      <c r="N796" s="152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  <c r="AA796" s="152"/>
      <c r="AB796" s="152"/>
      <c r="AC796" s="152"/>
      <c r="AD796" s="152"/>
      <c r="AE796" s="152"/>
      <c r="AF796" s="152"/>
      <c r="AG796" s="152"/>
      <c r="AH796" s="152"/>
      <c r="AI796" s="152"/>
      <c r="AJ796" s="152"/>
      <c r="AK796" s="152"/>
      <c r="AL796" s="152"/>
      <c r="AM796" s="152"/>
    </row>
    <row r="797">
      <c r="A797" s="152"/>
      <c r="B797" s="152"/>
      <c r="C797" s="152"/>
      <c r="D797" s="152"/>
      <c r="E797" s="152"/>
      <c r="F797" s="152"/>
      <c r="G797" s="152"/>
      <c r="H797" s="152"/>
      <c r="I797" s="152"/>
      <c r="J797" s="152"/>
      <c r="K797" s="152"/>
      <c r="L797" s="152"/>
      <c r="M797" s="152"/>
      <c r="N797" s="152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  <c r="AA797" s="152"/>
      <c r="AB797" s="152"/>
      <c r="AC797" s="152"/>
      <c r="AD797" s="152"/>
      <c r="AE797" s="152"/>
      <c r="AF797" s="152"/>
      <c r="AG797" s="152"/>
      <c r="AH797" s="152"/>
      <c r="AI797" s="152"/>
      <c r="AJ797" s="152"/>
      <c r="AK797" s="152"/>
      <c r="AL797" s="152"/>
      <c r="AM797" s="152"/>
    </row>
    <row r="798">
      <c r="A798" s="152"/>
      <c r="B798" s="152"/>
      <c r="C798" s="152"/>
      <c r="D798" s="152"/>
      <c r="E798" s="152"/>
      <c r="F798" s="152"/>
      <c r="G798" s="152"/>
      <c r="H798" s="152"/>
      <c r="I798" s="152"/>
      <c r="J798" s="152"/>
      <c r="K798" s="152"/>
      <c r="L798" s="152"/>
      <c r="M798" s="152"/>
      <c r="N798" s="152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  <c r="AA798" s="152"/>
      <c r="AB798" s="152"/>
      <c r="AC798" s="152"/>
      <c r="AD798" s="152"/>
      <c r="AE798" s="152"/>
      <c r="AF798" s="152"/>
      <c r="AG798" s="152"/>
      <c r="AH798" s="152"/>
      <c r="AI798" s="152"/>
      <c r="AJ798" s="152"/>
      <c r="AK798" s="152"/>
      <c r="AL798" s="152"/>
      <c r="AM798" s="152"/>
    </row>
    <row r="799">
      <c r="A799" s="152"/>
      <c r="B799" s="152"/>
      <c r="C799" s="152"/>
      <c r="D799" s="152"/>
      <c r="E799" s="152"/>
      <c r="F799" s="152"/>
      <c r="G799" s="152"/>
      <c r="H799" s="152"/>
      <c r="I799" s="152"/>
      <c r="J799" s="152"/>
      <c r="K799" s="152"/>
      <c r="L799" s="152"/>
      <c r="M799" s="152"/>
      <c r="N799" s="152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  <c r="AA799" s="152"/>
      <c r="AB799" s="152"/>
      <c r="AC799" s="152"/>
      <c r="AD799" s="152"/>
      <c r="AE799" s="152"/>
      <c r="AF799" s="152"/>
      <c r="AG799" s="152"/>
      <c r="AH799" s="152"/>
      <c r="AI799" s="152"/>
      <c r="AJ799" s="152"/>
      <c r="AK799" s="152"/>
      <c r="AL799" s="152"/>
      <c r="AM799" s="152"/>
    </row>
    <row r="800">
      <c r="A800" s="152"/>
      <c r="B800" s="152"/>
      <c r="C800" s="152"/>
      <c r="D800" s="152"/>
      <c r="E800" s="152"/>
      <c r="F800" s="152"/>
      <c r="G800" s="152"/>
      <c r="H800" s="152"/>
      <c r="I800" s="152"/>
      <c r="J800" s="152"/>
      <c r="K800" s="152"/>
      <c r="L800" s="152"/>
      <c r="M800" s="152"/>
      <c r="N800" s="152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  <c r="AA800" s="152"/>
      <c r="AB800" s="152"/>
      <c r="AC800" s="152"/>
      <c r="AD800" s="152"/>
      <c r="AE800" s="152"/>
      <c r="AF800" s="152"/>
      <c r="AG800" s="152"/>
      <c r="AH800" s="152"/>
      <c r="AI800" s="152"/>
      <c r="AJ800" s="152"/>
      <c r="AK800" s="152"/>
      <c r="AL800" s="152"/>
      <c r="AM800" s="152"/>
    </row>
    <row r="801">
      <c r="A801" s="152"/>
      <c r="B801" s="152"/>
      <c r="C801" s="152"/>
      <c r="D801" s="152"/>
      <c r="E801" s="152"/>
      <c r="F801" s="152"/>
      <c r="G801" s="152"/>
      <c r="H801" s="152"/>
      <c r="I801" s="152"/>
      <c r="J801" s="152"/>
      <c r="K801" s="152"/>
      <c r="L801" s="152"/>
      <c r="M801" s="152"/>
      <c r="N801" s="152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  <c r="AA801" s="152"/>
      <c r="AB801" s="152"/>
      <c r="AC801" s="152"/>
      <c r="AD801" s="152"/>
      <c r="AE801" s="152"/>
      <c r="AF801" s="152"/>
      <c r="AG801" s="152"/>
      <c r="AH801" s="152"/>
      <c r="AI801" s="152"/>
      <c r="AJ801" s="152"/>
      <c r="AK801" s="152"/>
      <c r="AL801" s="152"/>
      <c r="AM801" s="152"/>
    </row>
    <row r="802">
      <c r="A802" s="152"/>
      <c r="B802" s="152"/>
      <c r="C802" s="152"/>
      <c r="D802" s="152"/>
      <c r="E802" s="152"/>
      <c r="F802" s="152"/>
      <c r="G802" s="152"/>
      <c r="H802" s="152"/>
      <c r="I802" s="152"/>
      <c r="J802" s="152"/>
      <c r="K802" s="152"/>
      <c r="L802" s="152"/>
      <c r="M802" s="152"/>
      <c r="N802" s="152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  <c r="AA802" s="152"/>
      <c r="AB802" s="152"/>
      <c r="AC802" s="152"/>
      <c r="AD802" s="152"/>
      <c r="AE802" s="152"/>
      <c r="AF802" s="152"/>
      <c r="AG802" s="152"/>
      <c r="AH802" s="152"/>
      <c r="AI802" s="152"/>
      <c r="AJ802" s="152"/>
      <c r="AK802" s="152"/>
      <c r="AL802" s="152"/>
      <c r="AM802" s="152"/>
    </row>
    <row r="803">
      <c r="A803" s="152"/>
      <c r="B803" s="152"/>
      <c r="C803" s="152"/>
      <c r="D803" s="152"/>
      <c r="E803" s="152"/>
      <c r="F803" s="152"/>
      <c r="G803" s="152"/>
      <c r="H803" s="152"/>
      <c r="I803" s="152"/>
      <c r="J803" s="152"/>
      <c r="K803" s="152"/>
      <c r="L803" s="152"/>
      <c r="M803" s="152"/>
      <c r="N803" s="152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  <c r="AA803" s="152"/>
      <c r="AB803" s="152"/>
      <c r="AC803" s="152"/>
      <c r="AD803" s="152"/>
      <c r="AE803" s="152"/>
      <c r="AF803" s="152"/>
      <c r="AG803" s="152"/>
      <c r="AH803" s="152"/>
      <c r="AI803" s="152"/>
      <c r="AJ803" s="152"/>
      <c r="AK803" s="152"/>
      <c r="AL803" s="152"/>
      <c r="AM803" s="152"/>
    </row>
    <row r="804">
      <c r="A804" s="152"/>
      <c r="B804" s="152"/>
      <c r="C804" s="152"/>
      <c r="D804" s="152"/>
      <c r="E804" s="152"/>
      <c r="F804" s="152"/>
      <c r="G804" s="152"/>
      <c r="H804" s="152"/>
      <c r="I804" s="152"/>
      <c r="J804" s="152"/>
      <c r="K804" s="152"/>
      <c r="L804" s="152"/>
      <c r="M804" s="152"/>
      <c r="N804" s="152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  <c r="AA804" s="152"/>
      <c r="AB804" s="152"/>
      <c r="AC804" s="152"/>
      <c r="AD804" s="152"/>
      <c r="AE804" s="152"/>
      <c r="AF804" s="152"/>
      <c r="AG804" s="152"/>
      <c r="AH804" s="152"/>
      <c r="AI804" s="152"/>
      <c r="AJ804" s="152"/>
      <c r="AK804" s="152"/>
      <c r="AL804" s="152"/>
      <c r="AM804" s="152"/>
    </row>
    <row r="805">
      <c r="A805" s="152"/>
      <c r="B805" s="152"/>
      <c r="C805" s="152"/>
      <c r="D805" s="152"/>
      <c r="E805" s="152"/>
      <c r="F805" s="152"/>
      <c r="G805" s="152"/>
      <c r="H805" s="152"/>
      <c r="I805" s="152"/>
      <c r="J805" s="152"/>
      <c r="K805" s="152"/>
      <c r="L805" s="152"/>
      <c r="M805" s="152"/>
      <c r="N805" s="152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  <c r="AA805" s="152"/>
      <c r="AB805" s="152"/>
      <c r="AC805" s="152"/>
      <c r="AD805" s="152"/>
      <c r="AE805" s="152"/>
      <c r="AF805" s="152"/>
      <c r="AG805" s="152"/>
      <c r="AH805" s="152"/>
      <c r="AI805" s="152"/>
      <c r="AJ805" s="152"/>
      <c r="AK805" s="152"/>
      <c r="AL805" s="152"/>
      <c r="AM805" s="152"/>
    </row>
    <row r="806">
      <c r="A806" s="152"/>
      <c r="B806" s="152"/>
      <c r="C806" s="152"/>
      <c r="D806" s="152"/>
      <c r="E806" s="152"/>
      <c r="F806" s="152"/>
      <c r="G806" s="152"/>
      <c r="H806" s="152"/>
      <c r="I806" s="152"/>
      <c r="J806" s="152"/>
      <c r="K806" s="152"/>
      <c r="L806" s="152"/>
      <c r="M806" s="152"/>
      <c r="N806" s="152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  <c r="AA806" s="152"/>
      <c r="AB806" s="152"/>
      <c r="AC806" s="152"/>
      <c r="AD806" s="152"/>
      <c r="AE806" s="152"/>
      <c r="AF806" s="152"/>
      <c r="AG806" s="152"/>
      <c r="AH806" s="152"/>
      <c r="AI806" s="152"/>
      <c r="AJ806" s="152"/>
      <c r="AK806" s="152"/>
      <c r="AL806" s="152"/>
      <c r="AM806" s="152"/>
    </row>
    <row r="807">
      <c r="A807" s="152"/>
      <c r="B807" s="152"/>
      <c r="C807" s="152"/>
      <c r="D807" s="152"/>
      <c r="E807" s="152"/>
      <c r="F807" s="152"/>
      <c r="G807" s="152"/>
      <c r="H807" s="152"/>
      <c r="I807" s="152"/>
      <c r="J807" s="152"/>
      <c r="K807" s="152"/>
      <c r="L807" s="152"/>
      <c r="M807" s="152"/>
      <c r="N807" s="152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  <c r="AA807" s="152"/>
      <c r="AB807" s="152"/>
      <c r="AC807" s="152"/>
      <c r="AD807" s="152"/>
      <c r="AE807" s="152"/>
      <c r="AF807" s="152"/>
      <c r="AG807" s="152"/>
      <c r="AH807" s="152"/>
      <c r="AI807" s="152"/>
      <c r="AJ807" s="152"/>
      <c r="AK807" s="152"/>
      <c r="AL807" s="152"/>
      <c r="AM807" s="152"/>
    </row>
    <row r="808">
      <c r="A808" s="152"/>
      <c r="B808" s="152"/>
      <c r="C808" s="152"/>
      <c r="D808" s="152"/>
      <c r="E808" s="152"/>
      <c r="F808" s="152"/>
      <c r="G808" s="152"/>
      <c r="H808" s="152"/>
      <c r="I808" s="152"/>
      <c r="J808" s="152"/>
      <c r="K808" s="152"/>
      <c r="L808" s="152"/>
      <c r="M808" s="152"/>
      <c r="N808" s="152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  <c r="AA808" s="152"/>
      <c r="AB808" s="152"/>
      <c r="AC808" s="152"/>
      <c r="AD808" s="152"/>
      <c r="AE808" s="152"/>
      <c r="AF808" s="152"/>
      <c r="AG808" s="152"/>
      <c r="AH808" s="152"/>
      <c r="AI808" s="152"/>
      <c r="AJ808" s="152"/>
      <c r="AK808" s="152"/>
      <c r="AL808" s="152"/>
      <c r="AM808" s="152"/>
    </row>
    <row r="809">
      <c r="A809" s="152"/>
      <c r="B809" s="152"/>
      <c r="C809" s="152"/>
      <c r="D809" s="152"/>
      <c r="E809" s="152"/>
      <c r="F809" s="152"/>
      <c r="G809" s="152"/>
      <c r="H809" s="152"/>
      <c r="I809" s="152"/>
      <c r="J809" s="152"/>
      <c r="K809" s="152"/>
      <c r="L809" s="152"/>
      <c r="M809" s="152"/>
      <c r="N809" s="152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  <c r="AA809" s="152"/>
      <c r="AB809" s="152"/>
      <c r="AC809" s="152"/>
      <c r="AD809" s="152"/>
      <c r="AE809" s="152"/>
      <c r="AF809" s="152"/>
      <c r="AG809" s="152"/>
      <c r="AH809" s="152"/>
      <c r="AI809" s="152"/>
      <c r="AJ809" s="152"/>
      <c r="AK809" s="152"/>
      <c r="AL809" s="152"/>
      <c r="AM809" s="152"/>
    </row>
    <row r="810">
      <c r="A810" s="152"/>
      <c r="B810" s="152"/>
      <c r="C810" s="152"/>
      <c r="D810" s="152"/>
      <c r="E810" s="152"/>
      <c r="F810" s="152"/>
      <c r="G810" s="152"/>
      <c r="H810" s="152"/>
      <c r="I810" s="152"/>
      <c r="J810" s="152"/>
      <c r="K810" s="152"/>
      <c r="L810" s="152"/>
      <c r="M810" s="152"/>
      <c r="N810" s="152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  <c r="AA810" s="152"/>
      <c r="AB810" s="152"/>
      <c r="AC810" s="152"/>
      <c r="AD810" s="152"/>
      <c r="AE810" s="152"/>
      <c r="AF810" s="152"/>
      <c r="AG810" s="152"/>
      <c r="AH810" s="152"/>
      <c r="AI810" s="152"/>
      <c r="AJ810" s="152"/>
      <c r="AK810" s="152"/>
      <c r="AL810" s="152"/>
      <c r="AM810" s="152"/>
    </row>
    <row r="811">
      <c r="A811" s="152"/>
      <c r="B811" s="152"/>
      <c r="C811" s="152"/>
      <c r="D811" s="152"/>
      <c r="E811" s="152"/>
      <c r="F811" s="152"/>
      <c r="G811" s="152"/>
      <c r="H811" s="152"/>
      <c r="I811" s="152"/>
      <c r="J811" s="152"/>
      <c r="K811" s="152"/>
      <c r="L811" s="152"/>
      <c r="M811" s="152"/>
      <c r="N811" s="152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  <c r="AA811" s="152"/>
      <c r="AB811" s="152"/>
      <c r="AC811" s="152"/>
      <c r="AD811" s="152"/>
      <c r="AE811" s="152"/>
      <c r="AF811" s="152"/>
      <c r="AG811" s="152"/>
      <c r="AH811" s="152"/>
      <c r="AI811" s="152"/>
      <c r="AJ811" s="152"/>
      <c r="AK811" s="152"/>
      <c r="AL811" s="152"/>
      <c r="AM811" s="152"/>
    </row>
    <row r="812">
      <c r="A812" s="152"/>
      <c r="B812" s="152"/>
      <c r="C812" s="152"/>
      <c r="D812" s="152"/>
      <c r="E812" s="152"/>
      <c r="F812" s="152"/>
      <c r="G812" s="152"/>
      <c r="H812" s="152"/>
      <c r="I812" s="152"/>
      <c r="J812" s="152"/>
      <c r="K812" s="152"/>
      <c r="L812" s="152"/>
      <c r="M812" s="152"/>
      <c r="N812" s="152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  <c r="AA812" s="152"/>
      <c r="AB812" s="152"/>
      <c r="AC812" s="152"/>
      <c r="AD812" s="152"/>
      <c r="AE812" s="152"/>
      <c r="AF812" s="152"/>
      <c r="AG812" s="152"/>
      <c r="AH812" s="152"/>
      <c r="AI812" s="152"/>
      <c r="AJ812" s="152"/>
      <c r="AK812" s="152"/>
      <c r="AL812" s="152"/>
      <c r="AM812" s="152"/>
    </row>
    <row r="813">
      <c r="A813" s="152"/>
      <c r="B813" s="152"/>
      <c r="C813" s="152"/>
      <c r="D813" s="152"/>
      <c r="E813" s="152"/>
      <c r="F813" s="152"/>
      <c r="G813" s="152"/>
      <c r="H813" s="152"/>
      <c r="I813" s="152"/>
      <c r="J813" s="152"/>
      <c r="K813" s="152"/>
      <c r="L813" s="152"/>
      <c r="M813" s="152"/>
      <c r="N813" s="152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  <c r="AA813" s="152"/>
      <c r="AB813" s="152"/>
      <c r="AC813" s="152"/>
      <c r="AD813" s="152"/>
      <c r="AE813" s="152"/>
      <c r="AF813" s="152"/>
      <c r="AG813" s="152"/>
      <c r="AH813" s="152"/>
      <c r="AI813" s="152"/>
      <c r="AJ813" s="152"/>
      <c r="AK813" s="152"/>
      <c r="AL813" s="152"/>
      <c r="AM813" s="152"/>
    </row>
    <row r="814">
      <c r="A814" s="152"/>
      <c r="B814" s="152"/>
      <c r="C814" s="152"/>
      <c r="D814" s="152"/>
      <c r="E814" s="152"/>
      <c r="F814" s="152"/>
      <c r="G814" s="152"/>
      <c r="H814" s="152"/>
      <c r="I814" s="152"/>
      <c r="J814" s="152"/>
      <c r="K814" s="152"/>
      <c r="L814" s="152"/>
      <c r="M814" s="152"/>
      <c r="N814" s="152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  <c r="AA814" s="152"/>
      <c r="AB814" s="152"/>
      <c r="AC814" s="152"/>
      <c r="AD814" s="152"/>
      <c r="AE814" s="152"/>
      <c r="AF814" s="152"/>
      <c r="AG814" s="152"/>
      <c r="AH814" s="152"/>
      <c r="AI814" s="152"/>
      <c r="AJ814" s="152"/>
      <c r="AK814" s="152"/>
      <c r="AL814" s="152"/>
      <c r="AM814" s="152"/>
    </row>
    <row r="815">
      <c r="A815" s="152"/>
      <c r="B815" s="152"/>
      <c r="C815" s="152"/>
      <c r="D815" s="152"/>
      <c r="E815" s="152"/>
      <c r="F815" s="152"/>
      <c r="G815" s="152"/>
      <c r="H815" s="152"/>
      <c r="I815" s="152"/>
      <c r="J815" s="152"/>
      <c r="K815" s="152"/>
      <c r="L815" s="152"/>
      <c r="M815" s="152"/>
      <c r="N815" s="152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  <c r="AA815" s="152"/>
      <c r="AB815" s="152"/>
      <c r="AC815" s="152"/>
      <c r="AD815" s="152"/>
      <c r="AE815" s="152"/>
      <c r="AF815" s="152"/>
      <c r="AG815" s="152"/>
      <c r="AH815" s="152"/>
      <c r="AI815" s="152"/>
      <c r="AJ815" s="152"/>
      <c r="AK815" s="152"/>
      <c r="AL815" s="152"/>
      <c r="AM815" s="152"/>
    </row>
    <row r="816">
      <c r="A816" s="152"/>
      <c r="B816" s="152"/>
      <c r="C816" s="152"/>
      <c r="D816" s="152"/>
      <c r="E816" s="152"/>
      <c r="F816" s="152"/>
      <c r="G816" s="152"/>
      <c r="H816" s="152"/>
      <c r="I816" s="152"/>
      <c r="J816" s="152"/>
      <c r="K816" s="152"/>
      <c r="L816" s="152"/>
      <c r="M816" s="152"/>
      <c r="N816" s="152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  <c r="AA816" s="152"/>
      <c r="AB816" s="152"/>
      <c r="AC816" s="152"/>
      <c r="AD816" s="152"/>
      <c r="AE816" s="152"/>
      <c r="AF816" s="152"/>
      <c r="AG816" s="152"/>
      <c r="AH816" s="152"/>
      <c r="AI816" s="152"/>
      <c r="AJ816" s="152"/>
      <c r="AK816" s="152"/>
      <c r="AL816" s="152"/>
      <c r="AM816" s="152"/>
    </row>
    <row r="817">
      <c r="A817" s="152"/>
      <c r="B817" s="152"/>
      <c r="C817" s="152"/>
      <c r="D817" s="152"/>
      <c r="E817" s="152"/>
      <c r="F817" s="152"/>
      <c r="G817" s="152"/>
      <c r="H817" s="152"/>
      <c r="I817" s="152"/>
      <c r="J817" s="152"/>
      <c r="K817" s="152"/>
      <c r="L817" s="152"/>
      <c r="M817" s="152"/>
      <c r="N817" s="152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  <c r="AA817" s="152"/>
      <c r="AB817" s="152"/>
      <c r="AC817" s="152"/>
      <c r="AD817" s="152"/>
      <c r="AE817" s="152"/>
      <c r="AF817" s="152"/>
      <c r="AG817" s="152"/>
      <c r="AH817" s="152"/>
      <c r="AI817" s="152"/>
      <c r="AJ817" s="152"/>
      <c r="AK817" s="152"/>
      <c r="AL817" s="152"/>
      <c r="AM817" s="152"/>
    </row>
    <row r="818">
      <c r="A818" s="152"/>
      <c r="B818" s="152"/>
      <c r="C818" s="152"/>
      <c r="D818" s="152"/>
      <c r="E818" s="152"/>
      <c r="F818" s="152"/>
      <c r="G818" s="152"/>
      <c r="H818" s="152"/>
      <c r="I818" s="152"/>
      <c r="J818" s="152"/>
      <c r="K818" s="152"/>
      <c r="L818" s="152"/>
      <c r="M818" s="152"/>
      <c r="N818" s="152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  <c r="AA818" s="152"/>
      <c r="AB818" s="152"/>
      <c r="AC818" s="152"/>
      <c r="AD818" s="152"/>
      <c r="AE818" s="152"/>
      <c r="AF818" s="152"/>
      <c r="AG818" s="152"/>
      <c r="AH818" s="152"/>
      <c r="AI818" s="152"/>
      <c r="AJ818" s="152"/>
      <c r="AK818" s="152"/>
      <c r="AL818" s="152"/>
      <c r="AM818" s="152"/>
    </row>
    <row r="819">
      <c r="A819" s="152"/>
      <c r="B819" s="152"/>
      <c r="C819" s="152"/>
      <c r="D819" s="152"/>
      <c r="E819" s="152"/>
      <c r="F819" s="152"/>
      <c r="G819" s="152"/>
      <c r="H819" s="152"/>
      <c r="I819" s="152"/>
      <c r="J819" s="152"/>
      <c r="K819" s="152"/>
      <c r="L819" s="152"/>
      <c r="M819" s="152"/>
      <c r="N819" s="152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  <c r="AA819" s="152"/>
      <c r="AB819" s="152"/>
      <c r="AC819" s="152"/>
      <c r="AD819" s="152"/>
      <c r="AE819" s="152"/>
      <c r="AF819" s="152"/>
      <c r="AG819" s="152"/>
      <c r="AH819" s="152"/>
      <c r="AI819" s="152"/>
      <c r="AJ819" s="152"/>
      <c r="AK819" s="152"/>
      <c r="AL819" s="152"/>
      <c r="AM819" s="152"/>
    </row>
    <row r="820">
      <c r="A820" s="152"/>
      <c r="B820" s="152"/>
      <c r="C820" s="152"/>
      <c r="D820" s="152"/>
      <c r="E820" s="152"/>
      <c r="F820" s="152"/>
      <c r="G820" s="152"/>
      <c r="H820" s="152"/>
      <c r="I820" s="152"/>
      <c r="J820" s="152"/>
      <c r="K820" s="152"/>
      <c r="L820" s="152"/>
      <c r="M820" s="152"/>
      <c r="N820" s="152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  <c r="AA820" s="152"/>
      <c r="AB820" s="152"/>
      <c r="AC820" s="152"/>
      <c r="AD820" s="152"/>
      <c r="AE820" s="152"/>
      <c r="AF820" s="152"/>
      <c r="AG820" s="152"/>
      <c r="AH820" s="152"/>
      <c r="AI820" s="152"/>
      <c r="AJ820" s="152"/>
      <c r="AK820" s="152"/>
      <c r="AL820" s="152"/>
      <c r="AM820" s="152"/>
    </row>
    <row r="821">
      <c r="A821" s="152"/>
      <c r="B821" s="152"/>
      <c r="C821" s="152"/>
      <c r="D821" s="152"/>
      <c r="E821" s="152"/>
      <c r="F821" s="152"/>
      <c r="G821" s="152"/>
      <c r="H821" s="152"/>
      <c r="I821" s="152"/>
      <c r="J821" s="152"/>
      <c r="K821" s="152"/>
      <c r="L821" s="152"/>
      <c r="M821" s="152"/>
      <c r="N821" s="152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  <c r="AA821" s="152"/>
      <c r="AB821" s="152"/>
      <c r="AC821" s="152"/>
      <c r="AD821" s="152"/>
      <c r="AE821" s="152"/>
      <c r="AF821" s="152"/>
      <c r="AG821" s="152"/>
      <c r="AH821" s="152"/>
      <c r="AI821" s="152"/>
      <c r="AJ821" s="152"/>
      <c r="AK821" s="152"/>
      <c r="AL821" s="152"/>
      <c r="AM821" s="152"/>
    </row>
    <row r="822">
      <c r="A822" s="152"/>
      <c r="B822" s="152"/>
      <c r="C822" s="152"/>
      <c r="D822" s="152"/>
      <c r="E822" s="152"/>
      <c r="F822" s="152"/>
      <c r="G822" s="152"/>
      <c r="H822" s="152"/>
      <c r="I822" s="152"/>
      <c r="J822" s="152"/>
      <c r="K822" s="152"/>
      <c r="L822" s="152"/>
      <c r="M822" s="152"/>
      <c r="N822" s="152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  <c r="AA822" s="152"/>
      <c r="AB822" s="152"/>
      <c r="AC822" s="152"/>
      <c r="AD822" s="152"/>
      <c r="AE822" s="152"/>
      <c r="AF822" s="152"/>
      <c r="AG822" s="152"/>
      <c r="AH822" s="152"/>
      <c r="AI822" s="152"/>
      <c r="AJ822" s="152"/>
      <c r="AK822" s="152"/>
      <c r="AL822" s="152"/>
      <c r="AM822" s="152"/>
    </row>
    <row r="823">
      <c r="A823" s="152"/>
      <c r="B823" s="152"/>
      <c r="C823" s="152"/>
      <c r="D823" s="152"/>
      <c r="E823" s="152"/>
      <c r="F823" s="152"/>
      <c r="G823" s="152"/>
      <c r="H823" s="152"/>
      <c r="I823" s="152"/>
      <c r="J823" s="152"/>
      <c r="K823" s="152"/>
      <c r="L823" s="152"/>
      <c r="M823" s="152"/>
      <c r="N823" s="152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  <c r="AA823" s="152"/>
      <c r="AB823" s="152"/>
      <c r="AC823" s="152"/>
      <c r="AD823" s="152"/>
      <c r="AE823" s="152"/>
      <c r="AF823" s="152"/>
      <c r="AG823" s="152"/>
      <c r="AH823" s="152"/>
      <c r="AI823" s="152"/>
      <c r="AJ823" s="152"/>
      <c r="AK823" s="152"/>
      <c r="AL823" s="152"/>
      <c r="AM823" s="152"/>
    </row>
    <row r="824">
      <c r="A824" s="152"/>
      <c r="B824" s="152"/>
      <c r="C824" s="152"/>
      <c r="D824" s="152"/>
      <c r="E824" s="152"/>
      <c r="F824" s="152"/>
      <c r="G824" s="152"/>
      <c r="H824" s="152"/>
      <c r="I824" s="152"/>
      <c r="J824" s="152"/>
      <c r="K824" s="152"/>
      <c r="L824" s="152"/>
      <c r="M824" s="152"/>
      <c r="N824" s="152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  <c r="AA824" s="152"/>
      <c r="AB824" s="152"/>
      <c r="AC824" s="152"/>
      <c r="AD824" s="152"/>
      <c r="AE824" s="152"/>
      <c r="AF824" s="152"/>
      <c r="AG824" s="152"/>
      <c r="AH824" s="152"/>
      <c r="AI824" s="152"/>
      <c r="AJ824" s="152"/>
      <c r="AK824" s="152"/>
      <c r="AL824" s="152"/>
      <c r="AM824" s="152"/>
    </row>
    <row r="825">
      <c r="A825" s="152"/>
      <c r="B825" s="152"/>
      <c r="C825" s="152"/>
      <c r="D825" s="152"/>
      <c r="E825" s="152"/>
      <c r="F825" s="152"/>
      <c r="G825" s="152"/>
      <c r="H825" s="152"/>
      <c r="I825" s="152"/>
      <c r="J825" s="152"/>
      <c r="K825" s="152"/>
      <c r="L825" s="152"/>
      <c r="M825" s="152"/>
      <c r="N825" s="152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  <c r="AA825" s="152"/>
      <c r="AB825" s="152"/>
      <c r="AC825" s="152"/>
      <c r="AD825" s="152"/>
      <c r="AE825" s="152"/>
      <c r="AF825" s="152"/>
      <c r="AG825" s="152"/>
      <c r="AH825" s="152"/>
      <c r="AI825" s="152"/>
      <c r="AJ825" s="152"/>
      <c r="AK825" s="152"/>
      <c r="AL825" s="152"/>
      <c r="AM825" s="152"/>
    </row>
    <row r="826">
      <c r="A826" s="152"/>
      <c r="B826" s="152"/>
      <c r="C826" s="152"/>
      <c r="D826" s="152"/>
      <c r="E826" s="152"/>
      <c r="F826" s="152"/>
      <c r="G826" s="152"/>
      <c r="H826" s="152"/>
      <c r="I826" s="152"/>
      <c r="J826" s="152"/>
      <c r="K826" s="152"/>
      <c r="L826" s="152"/>
      <c r="M826" s="152"/>
      <c r="N826" s="152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  <c r="AA826" s="152"/>
      <c r="AB826" s="152"/>
      <c r="AC826" s="152"/>
      <c r="AD826" s="152"/>
      <c r="AE826" s="152"/>
      <c r="AF826" s="152"/>
      <c r="AG826" s="152"/>
      <c r="AH826" s="152"/>
      <c r="AI826" s="152"/>
      <c r="AJ826" s="152"/>
      <c r="AK826" s="152"/>
      <c r="AL826" s="152"/>
      <c r="AM826" s="152"/>
    </row>
    <row r="827">
      <c r="A827" s="152"/>
      <c r="B827" s="152"/>
      <c r="C827" s="152"/>
      <c r="D827" s="152"/>
      <c r="E827" s="152"/>
      <c r="F827" s="152"/>
      <c r="G827" s="152"/>
      <c r="H827" s="152"/>
      <c r="I827" s="152"/>
      <c r="J827" s="152"/>
      <c r="K827" s="152"/>
      <c r="L827" s="152"/>
      <c r="M827" s="152"/>
      <c r="N827" s="152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  <c r="AA827" s="152"/>
      <c r="AB827" s="152"/>
      <c r="AC827" s="152"/>
      <c r="AD827" s="152"/>
      <c r="AE827" s="152"/>
      <c r="AF827" s="152"/>
      <c r="AG827" s="152"/>
      <c r="AH827" s="152"/>
      <c r="AI827" s="152"/>
      <c r="AJ827" s="152"/>
      <c r="AK827" s="152"/>
      <c r="AL827" s="152"/>
      <c r="AM827" s="152"/>
    </row>
    <row r="828">
      <c r="A828" s="152"/>
      <c r="B828" s="152"/>
      <c r="C828" s="152"/>
      <c r="D828" s="152"/>
      <c r="E828" s="152"/>
      <c r="F828" s="152"/>
      <c r="G828" s="152"/>
      <c r="H828" s="152"/>
      <c r="I828" s="152"/>
      <c r="J828" s="152"/>
      <c r="K828" s="152"/>
      <c r="L828" s="152"/>
      <c r="M828" s="152"/>
      <c r="N828" s="152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  <c r="AA828" s="152"/>
      <c r="AB828" s="152"/>
      <c r="AC828" s="152"/>
      <c r="AD828" s="152"/>
      <c r="AE828" s="152"/>
      <c r="AF828" s="152"/>
      <c r="AG828" s="152"/>
      <c r="AH828" s="152"/>
      <c r="AI828" s="152"/>
      <c r="AJ828" s="152"/>
      <c r="AK828" s="152"/>
      <c r="AL828" s="152"/>
      <c r="AM828" s="152"/>
    </row>
    <row r="829">
      <c r="A829" s="152"/>
      <c r="B829" s="152"/>
      <c r="C829" s="152"/>
      <c r="D829" s="152"/>
      <c r="E829" s="152"/>
      <c r="F829" s="152"/>
      <c r="G829" s="152"/>
      <c r="H829" s="152"/>
      <c r="I829" s="152"/>
      <c r="J829" s="152"/>
      <c r="K829" s="152"/>
      <c r="L829" s="152"/>
      <c r="M829" s="152"/>
      <c r="N829" s="152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  <c r="AA829" s="152"/>
      <c r="AB829" s="152"/>
      <c r="AC829" s="152"/>
      <c r="AD829" s="152"/>
      <c r="AE829" s="152"/>
      <c r="AF829" s="152"/>
      <c r="AG829" s="152"/>
      <c r="AH829" s="152"/>
      <c r="AI829" s="152"/>
      <c r="AJ829" s="152"/>
      <c r="AK829" s="152"/>
      <c r="AL829" s="152"/>
      <c r="AM829" s="152"/>
    </row>
    <row r="830">
      <c r="A830" s="152"/>
      <c r="B830" s="152"/>
      <c r="C830" s="152"/>
      <c r="D830" s="152"/>
      <c r="E830" s="152"/>
      <c r="F830" s="152"/>
      <c r="G830" s="152"/>
      <c r="H830" s="152"/>
      <c r="I830" s="152"/>
      <c r="J830" s="152"/>
      <c r="K830" s="152"/>
      <c r="L830" s="152"/>
      <c r="M830" s="152"/>
      <c r="N830" s="152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  <c r="AA830" s="152"/>
      <c r="AB830" s="152"/>
      <c r="AC830" s="152"/>
      <c r="AD830" s="152"/>
      <c r="AE830" s="152"/>
      <c r="AF830" s="152"/>
      <c r="AG830" s="152"/>
      <c r="AH830" s="152"/>
      <c r="AI830" s="152"/>
      <c r="AJ830" s="152"/>
      <c r="AK830" s="152"/>
      <c r="AL830" s="152"/>
      <c r="AM830" s="152"/>
    </row>
    <row r="831">
      <c r="A831" s="152"/>
      <c r="B831" s="152"/>
      <c r="C831" s="152"/>
      <c r="D831" s="152"/>
      <c r="E831" s="152"/>
      <c r="F831" s="152"/>
      <c r="G831" s="152"/>
      <c r="H831" s="152"/>
      <c r="I831" s="152"/>
      <c r="J831" s="152"/>
      <c r="K831" s="152"/>
      <c r="L831" s="152"/>
      <c r="M831" s="152"/>
      <c r="N831" s="152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  <c r="AA831" s="152"/>
      <c r="AB831" s="152"/>
      <c r="AC831" s="152"/>
      <c r="AD831" s="152"/>
      <c r="AE831" s="152"/>
      <c r="AF831" s="152"/>
      <c r="AG831" s="152"/>
      <c r="AH831" s="152"/>
      <c r="AI831" s="152"/>
      <c r="AJ831" s="152"/>
      <c r="AK831" s="152"/>
      <c r="AL831" s="152"/>
      <c r="AM831" s="152"/>
    </row>
    <row r="832">
      <c r="A832" s="152"/>
      <c r="B832" s="152"/>
      <c r="C832" s="152"/>
      <c r="D832" s="152"/>
      <c r="E832" s="152"/>
      <c r="F832" s="152"/>
      <c r="G832" s="152"/>
      <c r="H832" s="152"/>
      <c r="I832" s="152"/>
      <c r="J832" s="152"/>
      <c r="K832" s="152"/>
      <c r="L832" s="152"/>
      <c r="M832" s="152"/>
      <c r="N832" s="152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  <c r="AA832" s="152"/>
      <c r="AB832" s="152"/>
      <c r="AC832" s="152"/>
      <c r="AD832" s="152"/>
      <c r="AE832" s="152"/>
      <c r="AF832" s="152"/>
      <c r="AG832" s="152"/>
      <c r="AH832" s="152"/>
      <c r="AI832" s="152"/>
      <c r="AJ832" s="152"/>
      <c r="AK832" s="152"/>
      <c r="AL832" s="152"/>
      <c r="AM832" s="152"/>
    </row>
    <row r="833">
      <c r="A833" s="152"/>
      <c r="B833" s="152"/>
      <c r="C833" s="152"/>
      <c r="D833" s="152"/>
      <c r="E833" s="152"/>
      <c r="F833" s="152"/>
      <c r="G833" s="152"/>
      <c r="H833" s="152"/>
      <c r="I833" s="152"/>
      <c r="J833" s="152"/>
      <c r="K833" s="152"/>
      <c r="L833" s="152"/>
      <c r="M833" s="152"/>
      <c r="N833" s="152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  <c r="AA833" s="152"/>
      <c r="AB833" s="152"/>
      <c r="AC833" s="152"/>
      <c r="AD833" s="152"/>
      <c r="AE833" s="152"/>
      <c r="AF833" s="152"/>
      <c r="AG833" s="152"/>
      <c r="AH833" s="152"/>
      <c r="AI833" s="152"/>
      <c r="AJ833" s="152"/>
      <c r="AK833" s="152"/>
      <c r="AL833" s="152"/>
      <c r="AM833" s="152"/>
    </row>
    <row r="834">
      <c r="A834" s="152"/>
      <c r="B834" s="152"/>
      <c r="C834" s="152"/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  <c r="AA834" s="152"/>
      <c r="AB834" s="152"/>
      <c r="AC834" s="152"/>
      <c r="AD834" s="152"/>
      <c r="AE834" s="152"/>
      <c r="AF834" s="152"/>
      <c r="AG834" s="152"/>
      <c r="AH834" s="152"/>
      <c r="AI834" s="152"/>
      <c r="AJ834" s="152"/>
      <c r="AK834" s="152"/>
      <c r="AL834" s="152"/>
      <c r="AM834" s="152"/>
    </row>
    <row r="835">
      <c r="A835" s="152"/>
      <c r="B835" s="152"/>
      <c r="C835" s="152"/>
      <c r="D835" s="152"/>
      <c r="E835" s="152"/>
      <c r="F835" s="152"/>
      <c r="G835" s="152"/>
      <c r="H835" s="152"/>
      <c r="I835" s="152"/>
      <c r="J835" s="152"/>
      <c r="K835" s="152"/>
      <c r="L835" s="152"/>
      <c r="M835" s="152"/>
      <c r="N835" s="152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  <c r="AA835" s="152"/>
      <c r="AB835" s="152"/>
      <c r="AC835" s="152"/>
      <c r="AD835" s="152"/>
      <c r="AE835" s="152"/>
      <c r="AF835" s="152"/>
      <c r="AG835" s="152"/>
      <c r="AH835" s="152"/>
      <c r="AI835" s="152"/>
      <c r="AJ835" s="152"/>
      <c r="AK835" s="152"/>
      <c r="AL835" s="152"/>
      <c r="AM835" s="152"/>
    </row>
    <row r="836">
      <c r="A836" s="152"/>
      <c r="B836" s="152"/>
      <c r="C836" s="152"/>
      <c r="D836" s="152"/>
      <c r="E836" s="152"/>
      <c r="F836" s="152"/>
      <c r="G836" s="152"/>
      <c r="H836" s="152"/>
      <c r="I836" s="152"/>
      <c r="J836" s="152"/>
      <c r="K836" s="152"/>
      <c r="L836" s="152"/>
      <c r="M836" s="152"/>
      <c r="N836" s="152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  <c r="AA836" s="152"/>
      <c r="AB836" s="152"/>
      <c r="AC836" s="152"/>
      <c r="AD836" s="152"/>
      <c r="AE836" s="152"/>
      <c r="AF836" s="152"/>
      <c r="AG836" s="152"/>
      <c r="AH836" s="152"/>
      <c r="AI836" s="152"/>
      <c r="AJ836" s="152"/>
      <c r="AK836" s="152"/>
      <c r="AL836" s="152"/>
      <c r="AM836" s="152"/>
    </row>
    <row r="837">
      <c r="A837" s="152"/>
      <c r="B837" s="152"/>
      <c r="C837" s="152"/>
      <c r="D837" s="152"/>
      <c r="E837" s="152"/>
      <c r="F837" s="152"/>
      <c r="G837" s="152"/>
      <c r="H837" s="152"/>
      <c r="I837" s="152"/>
      <c r="J837" s="152"/>
      <c r="K837" s="152"/>
      <c r="L837" s="152"/>
      <c r="M837" s="152"/>
      <c r="N837" s="152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  <c r="AA837" s="152"/>
      <c r="AB837" s="152"/>
      <c r="AC837" s="152"/>
      <c r="AD837" s="152"/>
      <c r="AE837" s="152"/>
      <c r="AF837" s="152"/>
      <c r="AG837" s="152"/>
      <c r="AH837" s="152"/>
      <c r="AI837" s="152"/>
      <c r="AJ837" s="152"/>
      <c r="AK837" s="152"/>
      <c r="AL837" s="152"/>
      <c r="AM837" s="152"/>
    </row>
    <row r="838">
      <c r="A838" s="152"/>
      <c r="B838" s="152"/>
      <c r="C838" s="152"/>
      <c r="D838" s="152"/>
      <c r="E838" s="152"/>
      <c r="F838" s="152"/>
      <c r="G838" s="152"/>
      <c r="H838" s="152"/>
      <c r="I838" s="152"/>
      <c r="J838" s="152"/>
      <c r="K838" s="152"/>
      <c r="L838" s="152"/>
      <c r="M838" s="152"/>
      <c r="N838" s="152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  <c r="AA838" s="152"/>
      <c r="AB838" s="152"/>
      <c r="AC838" s="152"/>
      <c r="AD838" s="152"/>
      <c r="AE838" s="152"/>
      <c r="AF838" s="152"/>
      <c r="AG838" s="152"/>
      <c r="AH838" s="152"/>
      <c r="AI838" s="152"/>
      <c r="AJ838" s="152"/>
      <c r="AK838" s="152"/>
      <c r="AL838" s="152"/>
      <c r="AM838" s="152"/>
    </row>
    <row r="839">
      <c r="A839" s="152"/>
      <c r="B839" s="152"/>
      <c r="C839" s="152"/>
      <c r="D839" s="152"/>
      <c r="E839" s="152"/>
      <c r="F839" s="152"/>
      <c r="G839" s="152"/>
      <c r="H839" s="152"/>
      <c r="I839" s="152"/>
      <c r="J839" s="152"/>
      <c r="K839" s="152"/>
      <c r="L839" s="152"/>
      <c r="M839" s="152"/>
      <c r="N839" s="152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  <c r="AA839" s="152"/>
      <c r="AB839" s="152"/>
      <c r="AC839" s="152"/>
      <c r="AD839" s="152"/>
      <c r="AE839" s="152"/>
      <c r="AF839" s="152"/>
      <c r="AG839" s="152"/>
      <c r="AH839" s="152"/>
      <c r="AI839" s="152"/>
      <c r="AJ839" s="152"/>
      <c r="AK839" s="152"/>
      <c r="AL839" s="152"/>
      <c r="AM839" s="152"/>
    </row>
    <row r="840">
      <c r="A840" s="152"/>
      <c r="B840" s="152"/>
      <c r="C840" s="152"/>
      <c r="D840" s="152"/>
      <c r="E840" s="152"/>
      <c r="F840" s="152"/>
      <c r="G840" s="152"/>
      <c r="H840" s="152"/>
      <c r="I840" s="152"/>
      <c r="J840" s="152"/>
      <c r="K840" s="152"/>
      <c r="L840" s="152"/>
      <c r="M840" s="152"/>
      <c r="N840" s="152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  <c r="AA840" s="152"/>
      <c r="AB840" s="152"/>
      <c r="AC840" s="152"/>
      <c r="AD840" s="152"/>
      <c r="AE840" s="152"/>
      <c r="AF840" s="152"/>
      <c r="AG840" s="152"/>
      <c r="AH840" s="152"/>
      <c r="AI840" s="152"/>
      <c r="AJ840" s="152"/>
      <c r="AK840" s="152"/>
      <c r="AL840" s="152"/>
      <c r="AM840" s="152"/>
    </row>
    <row r="841">
      <c r="A841" s="152"/>
      <c r="B841" s="152"/>
      <c r="C841" s="152"/>
      <c r="D841" s="152"/>
      <c r="E841" s="152"/>
      <c r="F841" s="152"/>
      <c r="G841" s="152"/>
      <c r="H841" s="152"/>
      <c r="I841" s="152"/>
      <c r="J841" s="152"/>
      <c r="K841" s="152"/>
      <c r="L841" s="152"/>
      <c r="M841" s="152"/>
      <c r="N841" s="152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  <c r="AA841" s="152"/>
      <c r="AB841" s="152"/>
      <c r="AC841" s="152"/>
      <c r="AD841" s="152"/>
      <c r="AE841" s="152"/>
      <c r="AF841" s="152"/>
      <c r="AG841" s="152"/>
      <c r="AH841" s="152"/>
      <c r="AI841" s="152"/>
      <c r="AJ841" s="152"/>
      <c r="AK841" s="152"/>
      <c r="AL841" s="152"/>
      <c r="AM841" s="152"/>
    </row>
    <row r="842">
      <c r="A842" s="152"/>
      <c r="B842" s="152"/>
      <c r="C842" s="152"/>
      <c r="D842" s="152"/>
      <c r="E842" s="152"/>
      <c r="F842" s="152"/>
      <c r="G842" s="152"/>
      <c r="H842" s="152"/>
      <c r="I842" s="152"/>
      <c r="J842" s="152"/>
      <c r="K842" s="152"/>
      <c r="L842" s="152"/>
      <c r="M842" s="152"/>
      <c r="N842" s="152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  <c r="AA842" s="152"/>
      <c r="AB842" s="152"/>
      <c r="AC842" s="152"/>
      <c r="AD842" s="152"/>
      <c r="AE842" s="152"/>
      <c r="AF842" s="152"/>
      <c r="AG842" s="152"/>
      <c r="AH842" s="152"/>
      <c r="AI842" s="152"/>
      <c r="AJ842" s="152"/>
      <c r="AK842" s="152"/>
      <c r="AL842" s="152"/>
      <c r="AM842" s="152"/>
    </row>
    <row r="843">
      <c r="A843" s="152"/>
      <c r="B843" s="152"/>
      <c r="C843" s="152"/>
      <c r="D843" s="152"/>
      <c r="E843" s="152"/>
      <c r="F843" s="152"/>
      <c r="G843" s="152"/>
      <c r="H843" s="152"/>
      <c r="I843" s="152"/>
      <c r="J843" s="152"/>
      <c r="K843" s="152"/>
      <c r="L843" s="152"/>
      <c r="M843" s="152"/>
      <c r="N843" s="152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  <c r="AA843" s="152"/>
      <c r="AB843" s="152"/>
      <c r="AC843" s="152"/>
      <c r="AD843" s="152"/>
      <c r="AE843" s="152"/>
      <c r="AF843" s="152"/>
      <c r="AG843" s="152"/>
      <c r="AH843" s="152"/>
      <c r="AI843" s="152"/>
      <c r="AJ843" s="152"/>
      <c r="AK843" s="152"/>
      <c r="AL843" s="152"/>
      <c r="AM843" s="152"/>
    </row>
    <row r="844">
      <c r="A844" s="152"/>
      <c r="B844" s="152"/>
      <c r="C844" s="152"/>
      <c r="D844" s="152"/>
      <c r="E844" s="152"/>
      <c r="F844" s="152"/>
      <c r="G844" s="152"/>
      <c r="H844" s="152"/>
      <c r="I844" s="152"/>
      <c r="J844" s="152"/>
      <c r="K844" s="152"/>
      <c r="L844" s="152"/>
      <c r="M844" s="152"/>
      <c r="N844" s="152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  <c r="AA844" s="152"/>
      <c r="AB844" s="152"/>
      <c r="AC844" s="152"/>
      <c r="AD844" s="152"/>
      <c r="AE844" s="152"/>
      <c r="AF844" s="152"/>
      <c r="AG844" s="152"/>
      <c r="AH844" s="152"/>
      <c r="AI844" s="152"/>
      <c r="AJ844" s="152"/>
      <c r="AK844" s="152"/>
      <c r="AL844" s="152"/>
      <c r="AM844" s="152"/>
    </row>
    <row r="845">
      <c r="A845" s="152"/>
      <c r="B845" s="152"/>
      <c r="C845" s="152"/>
      <c r="D845" s="152"/>
      <c r="E845" s="152"/>
      <c r="F845" s="152"/>
      <c r="G845" s="152"/>
      <c r="H845" s="152"/>
      <c r="I845" s="152"/>
      <c r="J845" s="152"/>
      <c r="K845" s="152"/>
      <c r="L845" s="152"/>
      <c r="M845" s="152"/>
      <c r="N845" s="152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  <c r="AA845" s="152"/>
      <c r="AB845" s="152"/>
      <c r="AC845" s="152"/>
      <c r="AD845" s="152"/>
      <c r="AE845" s="152"/>
      <c r="AF845" s="152"/>
      <c r="AG845" s="152"/>
      <c r="AH845" s="152"/>
      <c r="AI845" s="152"/>
      <c r="AJ845" s="152"/>
      <c r="AK845" s="152"/>
      <c r="AL845" s="152"/>
      <c r="AM845" s="152"/>
    </row>
    <row r="846">
      <c r="A846" s="152"/>
      <c r="B846" s="152"/>
      <c r="C846" s="152"/>
      <c r="D846" s="152"/>
      <c r="E846" s="152"/>
      <c r="F846" s="152"/>
      <c r="G846" s="152"/>
      <c r="H846" s="152"/>
      <c r="I846" s="152"/>
      <c r="J846" s="152"/>
      <c r="K846" s="152"/>
      <c r="L846" s="152"/>
      <c r="M846" s="152"/>
      <c r="N846" s="152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  <c r="AA846" s="152"/>
      <c r="AB846" s="152"/>
      <c r="AC846" s="152"/>
      <c r="AD846" s="152"/>
      <c r="AE846" s="152"/>
      <c r="AF846" s="152"/>
      <c r="AG846" s="152"/>
      <c r="AH846" s="152"/>
      <c r="AI846" s="152"/>
      <c r="AJ846" s="152"/>
      <c r="AK846" s="152"/>
      <c r="AL846" s="152"/>
      <c r="AM846" s="152"/>
    </row>
    <row r="847">
      <c r="A847" s="152"/>
      <c r="B847" s="152"/>
      <c r="C847" s="152"/>
      <c r="D847" s="152"/>
      <c r="E847" s="152"/>
      <c r="F847" s="152"/>
      <c r="G847" s="152"/>
      <c r="H847" s="152"/>
      <c r="I847" s="152"/>
      <c r="J847" s="152"/>
      <c r="K847" s="152"/>
      <c r="L847" s="152"/>
      <c r="M847" s="152"/>
      <c r="N847" s="152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  <c r="AA847" s="152"/>
      <c r="AB847" s="152"/>
      <c r="AC847" s="152"/>
      <c r="AD847" s="152"/>
      <c r="AE847" s="152"/>
      <c r="AF847" s="152"/>
      <c r="AG847" s="152"/>
      <c r="AH847" s="152"/>
      <c r="AI847" s="152"/>
      <c r="AJ847" s="152"/>
      <c r="AK847" s="152"/>
      <c r="AL847" s="152"/>
      <c r="AM847" s="152"/>
    </row>
    <row r="848">
      <c r="A848" s="152"/>
      <c r="B848" s="152"/>
      <c r="C848" s="152"/>
      <c r="D848" s="152"/>
      <c r="E848" s="152"/>
      <c r="F848" s="152"/>
      <c r="G848" s="152"/>
      <c r="H848" s="152"/>
      <c r="I848" s="152"/>
      <c r="J848" s="152"/>
      <c r="K848" s="152"/>
      <c r="L848" s="152"/>
      <c r="M848" s="152"/>
      <c r="N848" s="152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  <c r="AA848" s="152"/>
      <c r="AB848" s="152"/>
      <c r="AC848" s="152"/>
      <c r="AD848" s="152"/>
      <c r="AE848" s="152"/>
      <c r="AF848" s="152"/>
      <c r="AG848" s="152"/>
      <c r="AH848" s="152"/>
      <c r="AI848" s="152"/>
      <c r="AJ848" s="152"/>
      <c r="AK848" s="152"/>
      <c r="AL848" s="152"/>
      <c r="AM848" s="152"/>
    </row>
    <row r="849">
      <c r="A849" s="152"/>
      <c r="B849" s="152"/>
      <c r="C849" s="152"/>
      <c r="D849" s="152"/>
      <c r="E849" s="152"/>
      <c r="F849" s="152"/>
      <c r="G849" s="152"/>
      <c r="H849" s="152"/>
      <c r="I849" s="152"/>
      <c r="J849" s="152"/>
      <c r="K849" s="152"/>
      <c r="L849" s="152"/>
      <c r="M849" s="152"/>
      <c r="N849" s="152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  <c r="AA849" s="152"/>
      <c r="AB849" s="152"/>
      <c r="AC849" s="152"/>
      <c r="AD849" s="152"/>
      <c r="AE849" s="152"/>
      <c r="AF849" s="152"/>
      <c r="AG849" s="152"/>
      <c r="AH849" s="152"/>
      <c r="AI849" s="152"/>
      <c r="AJ849" s="152"/>
      <c r="AK849" s="152"/>
      <c r="AL849" s="152"/>
      <c r="AM849" s="152"/>
    </row>
    <row r="850">
      <c r="A850" s="152"/>
      <c r="B850" s="152"/>
      <c r="C850" s="152"/>
      <c r="D850" s="152"/>
      <c r="E850" s="152"/>
      <c r="F850" s="152"/>
      <c r="G850" s="152"/>
      <c r="H850" s="152"/>
      <c r="I850" s="152"/>
      <c r="J850" s="152"/>
      <c r="K850" s="152"/>
      <c r="L850" s="152"/>
      <c r="M850" s="152"/>
      <c r="N850" s="152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  <c r="AA850" s="152"/>
      <c r="AB850" s="152"/>
      <c r="AC850" s="152"/>
      <c r="AD850" s="152"/>
      <c r="AE850" s="152"/>
      <c r="AF850" s="152"/>
      <c r="AG850" s="152"/>
      <c r="AH850" s="152"/>
      <c r="AI850" s="152"/>
      <c r="AJ850" s="152"/>
      <c r="AK850" s="152"/>
      <c r="AL850" s="152"/>
      <c r="AM850" s="152"/>
    </row>
    <row r="851">
      <c r="A851" s="152"/>
      <c r="B851" s="152"/>
      <c r="C851" s="152"/>
      <c r="D851" s="152"/>
      <c r="E851" s="152"/>
      <c r="F851" s="152"/>
      <c r="G851" s="152"/>
      <c r="H851" s="152"/>
      <c r="I851" s="152"/>
      <c r="J851" s="152"/>
      <c r="K851" s="152"/>
      <c r="L851" s="152"/>
      <c r="M851" s="152"/>
      <c r="N851" s="152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  <c r="AA851" s="152"/>
      <c r="AB851" s="152"/>
      <c r="AC851" s="152"/>
      <c r="AD851" s="152"/>
      <c r="AE851" s="152"/>
      <c r="AF851" s="152"/>
      <c r="AG851" s="152"/>
      <c r="AH851" s="152"/>
      <c r="AI851" s="152"/>
      <c r="AJ851" s="152"/>
      <c r="AK851" s="152"/>
      <c r="AL851" s="152"/>
      <c r="AM851" s="152"/>
    </row>
    <row r="852">
      <c r="A852" s="152"/>
      <c r="B852" s="152"/>
      <c r="C852" s="152"/>
      <c r="D852" s="152"/>
      <c r="E852" s="152"/>
      <c r="F852" s="152"/>
      <c r="G852" s="152"/>
      <c r="H852" s="152"/>
      <c r="I852" s="152"/>
      <c r="J852" s="152"/>
      <c r="K852" s="152"/>
      <c r="L852" s="152"/>
      <c r="M852" s="152"/>
      <c r="N852" s="152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  <c r="AA852" s="152"/>
      <c r="AB852" s="152"/>
      <c r="AC852" s="152"/>
      <c r="AD852" s="152"/>
      <c r="AE852" s="152"/>
      <c r="AF852" s="152"/>
      <c r="AG852" s="152"/>
      <c r="AH852" s="152"/>
      <c r="AI852" s="152"/>
      <c r="AJ852" s="152"/>
      <c r="AK852" s="152"/>
      <c r="AL852" s="152"/>
      <c r="AM852" s="152"/>
    </row>
    <row r="853">
      <c r="A853" s="152"/>
      <c r="B853" s="152"/>
      <c r="C853" s="152"/>
      <c r="D853" s="152"/>
      <c r="E853" s="152"/>
      <c r="F853" s="152"/>
      <c r="G853" s="152"/>
      <c r="H853" s="152"/>
      <c r="I853" s="152"/>
      <c r="J853" s="152"/>
      <c r="K853" s="152"/>
      <c r="L853" s="152"/>
      <c r="M853" s="152"/>
      <c r="N853" s="152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  <c r="AA853" s="152"/>
      <c r="AB853" s="152"/>
      <c r="AC853" s="152"/>
      <c r="AD853" s="152"/>
      <c r="AE853" s="152"/>
      <c r="AF853" s="152"/>
      <c r="AG853" s="152"/>
      <c r="AH853" s="152"/>
      <c r="AI853" s="152"/>
      <c r="AJ853" s="152"/>
      <c r="AK853" s="152"/>
      <c r="AL853" s="152"/>
      <c r="AM853" s="152"/>
    </row>
    <row r="854">
      <c r="A854" s="152"/>
      <c r="B854" s="152"/>
      <c r="C854" s="152"/>
      <c r="D854" s="152"/>
      <c r="E854" s="152"/>
      <c r="F854" s="152"/>
      <c r="G854" s="152"/>
      <c r="H854" s="152"/>
      <c r="I854" s="152"/>
      <c r="J854" s="152"/>
      <c r="K854" s="152"/>
      <c r="L854" s="152"/>
      <c r="M854" s="152"/>
      <c r="N854" s="152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  <c r="AA854" s="152"/>
      <c r="AB854" s="152"/>
      <c r="AC854" s="152"/>
      <c r="AD854" s="152"/>
      <c r="AE854" s="152"/>
      <c r="AF854" s="152"/>
      <c r="AG854" s="152"/>
      <c r="AH854" s="152"/>
      <c r="AI854" s="152"/>
      <c r="AJ854" s="152"/>
      <c r="AK854" s="152"/>
      <c r="AL854" s="152"/>
      <c r="AM854" s="152"/>
    </row>
    <row r="855">
      <c r="A855" s="152"/>
      <c r="B855" s="152"/>
      <c r="C855" s="152"/>
      <c r="D855" s="152"/>
      <c r="E855" s="152"/>
      <c r="F855" s="152"/>
      <c r="G855" s="152"/>
      <c r="H855" s="152"/>
      <c r="I855" s="152"/>
      <c r="J855" s="152"/>
      <c r="K855" s="152"/>
      <c r="L855" s="152"/>
      <c r="M855" s="152"/>
      <c r="N855" s="152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  <c r="AA855" s="152"/>
      <c r="AB855" s="152"/>
      <c r="AC855" s="152"/>
      <c r="AD855" s="152"/>
      <c r="AE855" s="152"/>
      <c r="AF855" s="152"/>
      <c r="AG855" s="152"/>
      <c r="AH855" s="152"/>
      <c r="AI855" s="152"/>
      <c r="AJ855" s="152"/>
      <c r="AK855" s="152"/>
      <c r="AL855" s="152"/>
      <c r="AM855" s="152"/>
    </row>
    <row r="856">
      <c r="A856" s="152"/>
      <c r="B856" s="152"/>
      <c r="C856" s="152"/>
      <c r="D856" s="152"/>
      <c r="E856" s="152"/>
      <c r="F856" s="152"/>
      <c r="G856" s="152"/>
      <c r="H856" s="152"/>
      <c r="I856" s="152"/>
      <c r="J856" s="152"/>
      <c r="K856" s="152"/>
      <c r="L856" s="152"/>
      <c r="M856" s="152"/>
      <c r="N856" s="152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  <c r="AA856" s="152"/>
      <c r="AB856" s="152"/>
      <c r="AC856" s="152"/>
      <c r="AD856" s="152"/>
      <c r="AE856" s="152"/>
      <c r="AF856" s="152"/>
      <c r="AG856" s="152"/>
      <c r="AH856" s="152"/>
      <c r="AI856" s="152"/>
      <c r="AJ856" s="152"/>
      <c r="AK856" s="152"/>
      <c r="AL856" s="152"/>
      <c r="AM856" s="152"/>
    </row>
    <row r="857">
      <c r="A857" s="152"/>
      <c r="B857" s="152"/>
      <c r="C857" s="152"/>
      <c r="D857" s="152"/>
      <c r="E857" s="152"/>
      <c r="F857" s="152"/>
      <c r="G857" s="152"/>
      <c r="H857" s="152"/>
      <c r="I857" s="152"/>
      <c r="J857" s="152"/>
      <c r="K857" s="152"/>
      <c r="L857" s="152"/>
      <c r="M857" s="152"/>
      <c r="N857" s="152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  <c r="AA857" s="152"/>
      <c r="AB857" s="152"/>
      <c r="AC857" s="152"/>
      <c r="AD857" s="152"/>
      <c r="AE857" s="152"/>
      <c r="AF857" s="152"/>
      <c r="AG857" s="152"/>
      <c r="AH857" s="152"/>
      <c r="AI857" s="152"/>
      <c r="AJ857" s="152"/>
      <c r="AK857" s="152"/>
      <c r="AL857" s="152"/>
      <c r="AM857" s="152"/>
    </row>
    <row r="858">
      <c r="A858" s="152"/>
      <c r="B858" s="152"/>
      <c r="C858" s="152"/>
      <c r="D858" s="152"/>
      <c r="E858" s="152"/>
      <c r="F858" s="152"/>
      <c r="G858" s="152"/>
      <c r="H858" s="152"/>
      <c r="I858" s="152"/>
      <c r="J858" s="152"/>
      <c r="K858" s="152"/>
      <c r="L858" s="152"/>
      <c r="M858" s="152"/>
      <c r="N858" s="152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  <c r="AA858" s="152"/>
      <c r="AB858" s="152"/>
      <c r="AC858" s="152"/>
      <c r="AD858" s="152"/>
      <c r="AE858" s="152"/>
      <c r="AF858" s="152"/>
      <c r="AG858" s="152"/>
      <c r="AH858" s="152"/>
      <c r="AI858" s="152"/>
      <c r="AJ858" s="152"/>
      <c r="AK858" s="152"/>
      <c r="AL858" s="152"/>
      <c r="AM858" s="152"/>
    </row>
    <row r="859">
      <c r="A859" s="152"/>
      <c r="B859" s="152"/>
      <c r="C859" s="152"/>
      <c r="D859" s="152"/>
      <c r="E859" s="152"/>
      <c r="F859" s="152"/>
      <c r="G859" s="152"/>
      <c r="H859" s="152"/>
      <c r="I859" s="152"/>
      <c r="J859" s="152"/>
      <c r="K859" s="152"/>
      <c r="L859" s="152"/>
      <c r="M859" s="152"/>
      <c r="N859" s="152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  <c r="AA859" s="152"/>
      <c r="AB859" s="152"/>
      <c r="AC859" s="152"/>
      <c r="AD859" s="152"/>
      <c r="AE859" s="152"/>
      <c r="AF859" s="152"/>
      <c r="AG859" s="152"/>
      <c r="AH859" s="152"/>
      <c r="AI859" s="152"/>
      <c r="AJ859" s="152"/>
      <c r="AK859" s="152"/>
      <c r="AL859" s="152"/>
      <c r="AM859" s="152"/>
    </row>
    <row r="860">
      <c r="A860" s="152"/>
      <c r="B860" s="152"/>
      <c r="C860" s="152"/>
      <c r="D860" s="152"/>
      <c r="E860" s="152"/>
      <c r="F860" s="152"/>
      <c r="G860" s="152"/>
      <c r="H860" s="152"/>
      <c r="I860" s="152"/>
      <c r="J860" s="152"/>
      <c r="K860" s="152"/>
      <c r="L860" s="152"/>
      <c r="M860" s="152"/>
      <c r="N860" s="152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  <c r="AA860" s="152"/>
      <c r="AB860" s="152"/>
      <c r="AC860" s="152"/>
      <c r="AD860" s="152"/>
      <c r="AE860" s="152"/>
      <c r="AF860" s="152"/>
      <c r="AG860" s="152"/>
      <c r="AH860" s="152"/>
      <c r="AI860" s="152"/>
      <c r="AJ860" s="152"/>
      <c r="AK860" s="152"/>
      <c r="AL860" s="152"/>
      <c r="AM860" s="152"/>
    </row>
    <row r="861">
      <c r="A861" s="152"/>
      <c r="B861" s="152"/>
      <c r="C861" s="152"/>
      <c r="D861" s="152"/>
      <c r="E861" s="152"/>
      <c r="F861" s="152"/>
      <c r="G861" s="152"/>
      <c r="H861" s="152"/>
      <c r="I861" s="152"/>
      <c r="J861" s="152"/>
      <c r="K861" s="152"/>
      <c r="L861" s="152"/>
      <c r="M861" s="152"/>
      <c r="N861" s="152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  <c r="AA861" s="152"/>
      <c r="AB861" s="152"/>
      <c r="AC861" s="152"/>
      <c r="AD861" s="152"/>
      <c r="AE861" s="152"/>
      <c r="AF861" s="152"/>
      <c r="AG861" s="152"/>
      <c r="AH861" s="152"/>
      <c r="AI861" s="152"/>
      <c r="AJ861" s="152"/>
      <c r="AK861" s="152"/>
      <c r="AL861" s="152"/>
      <c r="AM861" s="152"/>
    </row>
    <row r="862">
      <c r="A862" s="152"/>
      <c r="B862" s="152"/>
      <c r="C862" s="152"/>
      <c r="D862" s="152"/>
      <c r="E862" s="152"/>
      <c r="F862" s="152"/>
      <c r="G862" s="152"/>
      <c r="H862" s="152"/>
      <c r="I862" s="152"/>
      <c r="J862" s="152"/>
      <c r="K862" s="152"/>
      <c r="L862" s="152"/>
      <c r="M862" s="152"/>
      <c r="N862" s="152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  <c r="AA862" s="152"/>
      <c r="AB862" s="152"/>
      <c r="AC862" s="152"/>
      <c r="AD862" s="152"/>
      <c r="AE862" s="152"/>
      <c r="AF862" s="152"/>
      <c r="AG862" s="152"/>
      <c r="AH862" s="152"/>
      <c r="AI862" s="152"/>
      <c r="AJ862" s="152"/>
      <c r="AK862" s="152"/>
      <c r="AL862" s="152"/>
      <c r="AM862" s="152"/>
    </row>
    <row r="863">
      <c r="A863" s="152"/>
      <c r="B863" s="152"/>
      <c r="C863" s="152"/>
      <c r="D863" s="152"/>
      <c r="E863" s="152"/>
      <c r="F863" s="152"/>
      <c r="G863" s="152"/>
      <c r="H863" s="152"/>
      <c r="I863" s="152"/>
      <c r="J863" s="152"/>
      <c r="K863" s="152"/>
      <c r="L863" s="152"/>
      <c r="M863" s="152"/>
      <c r="N863" s="152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  <c r="AA863" s="152"/>
      <c r="AB863" s="152"/>
      <c r="AC863" s="152"/>
      <c r="AD863" s="152"/>
      <c r="AE863" s="152"/>
      <c r="AF863" s="152"/>
      <c r="AG863" s="152"/>
      <c r="AH863" s="152"/>
      <c r="AI863" s="152"/>
      <c r="AJ863" s="152"/>
      <c r="AK863" s="152"/>
      <c r="AL863" s="152"/>
      <c r="AM863" s="152"/>
    </row>
    <row r="864">
      <c r="A864" s="152"/>
      <c r="B864" s="152"/>
      <c r="C864" s="152"/>
      <c r="D864" s="152"/>
      <c r="E864" s="152"/>
      <c r="F864" s="152"/>
      <c r="G864" s="152"/>
      <c r="H864" s="152"/>
      <c r="I864" s="152"/>
      <c r="J864" s="152"/>
      <c r="K864" s="152"/>
      <c r="L864" s="152"/>
      <c r="M864" s="152"/>
      <c r="N864" s="152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  <c r="AA864" s="152"/>
      <c r="AB864" s="152"/>
      <c r="AC864" s="152"/>
      <c r="AD864" s="152"/>
      <c r="AE864" s="152"/>
      <c r="AF864" s="152"/>
      <c r="AG864" s="152"/>
      <c r="AH864" s="152"/>
      <c r="AI864" s="152"/>
      <c r="AJ864" s="152"/>
      <c r="AK864" s="152"/>
      <c r="AL864" s="152"/>
      <c r="AM864" s="152"/>
    </row>
    <row r="865">
      <c r="A865" s="152"/>
      <c r="B865" s="152"/>
      <c r="C865" s="152"/>
      <c r="D865" s="152"/>
      <c r="E865" s="152"/>
      <c r="F865" s="152"/>
      <c r="G865" s="152"/>
      <c r="H865" s="152"/>
      <c r="I865" s="152"/>
      <c r="J865" s="152"/>
      <c r="K865" s="152"/>
      <c r="L865" s="152"/>
      <c r="M865" s="152"/>
      <c r="N865" s="152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  <c r="AA865" s="152"/>
      <c r="AB865" s="152"/>
      <c r="AC865" s="152"/>
      <c r="AD865" s="152"/>
      <c r="AE865" s="152"/>
      <c r="AF865" s="152"/>
      <c r="AG865" s="152"/>
      <c r="AH865" s="152"/>
      <c r="AI865" s="152"/>
      <c r="AJ865" s="152"/>
      <c r="AK865" s="152"/>
      <c r="AL865" s="152"/>
      <c r="AM865" s="152"/>
    </row>
    <row r="866">
      <c r="A866" s="152"/>
      <c r="B866" s="152"/>
      <c r="C866" s="152"/>
      <c r="D866" s="152"/>
      <c r="E866" s="152"/>
      <c r="F866" s="152"/>
      <c r="G866" s="152"/>
      <c r="H866" s="152"/>
      <c r="I866" s="152"/>
      <c r="J866" s="152"/>
      <c r="K866" s="152"/>
      <c r="L866" s="152"/>
      <c r="M866" s="152"/>
      <c r="N866" s="152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  <c r="AA866" s="152"/>
      <c r="AB866" s="152"/>
      <c r="AC866" s="152"/>
      <c r="AD866" s="152"/>
      <c r="AE866" s="152"/>
      <c r="AF866" s="152"/>
      <c r="AG866" s="152"/>
      <c r="AH866" s="152"/>
      <c r="AI866" s="152"/>
      <c r="AJ866" s="152"/>
      <c r="AK866" s="152"/>
      <c r="AL866" s="152"/>
      <c r="AM866" s="152"/>
    </row>
    <row r="867">
      <c r="A867" s="152"/>
      <c r="B867" s="152"/>
      <c r="C867" s="152"/>
      <c r="D867" s="152"/>
      <c r="E867" s="152"/>
      <c r="F867" s="152"/>
      <c r="G867" s="152"/>
      <c r="H867" s="152"/>
      <c r="I867" s="152"/>
      <c r="J867" s="152"/>
      <c r="K867" s="152"/>
      <c r="L867" s="152"/>
      <c r="M867" s="152"/>
      <c r="N867" s="152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  <c r="AA867" s="152"/>
      <c r="AB867" s="152"/>
      <c r="AC867" s="152"/>
      <c r="AD867" s="152"/>
      <c r="AE867" s="152"/>
      <c r="AF867" s="152"/>
      <c r="AG867" s="152"/>
      <c r="AH867" s="152"/>
      <c r="AI867" s="152"/>
      <c r="AJ867" s="152"/>
      <c r="AK867" s="152"/>
      <c r="AL867" s="152"/>
      <c r="AM867" s="152"/>
    </row>
    <row r="868">
      <c r="A868" s="152"/>
      <c r="B868" s="152"/>
      <c r="C868" s="152"/>
      <c r="D868" s="152"/>
      <c r="E868" s="152"/>
      <c r="F868" s="152"/>
      <c r="G868" s="152"/>
      <c r="H868" s="152"/>
      <c r="I868" s="152"/>
      <c r="J868" s="152"/>
      <c r="K868" s="152"/>
      <c r="L868" s="152"/>
      <c r="M868" s="152"/>
      <c r="N868" s="152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  <c r="AA868" s="152"/>
      <c r="AB868" s="152"/>
      <c r="AC868" s="152"/>
      <c r="AD868" s="152"/>
      <c r="AE868" s="152"/>
      <c r="AF868" s="152"/>
      <c r="AG868" s="152"/>
      <c r="AH868" s="152"/>
      <c r="AI868" s="152"/>
      <c r="AJ868" s="152"/>
      <c r="AK868" s="152"/>
      <c r="AL868" s="152"/>
      <c r="AM868" s="152"/>
    </row>
    <row r="869">
      <c r="A869" s="152"/>
      <c r="B869" s="152"/>
      <c r="C869" s="152"/>
      <c r="D869" s="152"/>
      <c r="E869" s="152"/>
      <c r="F869" s="152"/>
      <c r="G869" s="152"/>
      <c r="H869" s="152"/>
      <c r="I869" s="152"/>
      <c r="J869" s="152"/>
      <c r="K869" s="152"/>
      <c r="L869" s="152"/>
      <c r="M869" s="152"/>
      <c r="N869" s="152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  <c r="AA869" s="152"/>
      <c r="AB869" s="152"/>
      <c r="AC869" s="152"/>
      <c r="AD869" s="152"/>
      <c r="AE869" s="152"/>
      <c r="AF869" s="152"/>
      <c r="AG869" s="152"/>
      <c r="AH869" s="152"/>
      <c r="AI869" s="152"/>
      <c r="AJ869" s="152"/>
      <c r="AK869" s="152"/>
      <c r="AL869" s="152"/>
      <c r="AM869" s="152"/>
    </row>
    <row r="870">
      <c r="A870" s="152"/>
      <c r="B870" s="152"/>
      <c r="C870" s="152"/>
      <c r="D870" s="152"/>
      <c r="E870" s="152"/>
      <c r="F870" s="152"/>
      <c r="G870" s="152"/>
      <c r="H870" s="152"/>
      <c r="I870" s="152"/>
      <c r="J870" s="152"/>
      <c r="K870" s="152"/>
      <c r="L870" s="152"/>
      <c r="M870" s="152"/>
      <c r="N870" s="152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  <c r="Y870" s="152"/>
      <c r="Z870" s="152"/>
      <c r="AA870" s="152"/>
      <c r="AB870" s="152"/>
      <c r="AC870" s="152"/>
      <c r="AD870" s="152"/>
      <c r="AE870" s="152"/>
      <c r="AF870" s="152"/>
      <c r="AG870" s="152"/>
      <c r="AH870" s="152"/>
      <c r="AI870" s="152"/>
      <c r="AJ870" s="152"/>
      <c r="AK870" s="152"/>
      <c r="AL870" s="152"/>
      <c r="AM870" s="152"/>
    </row>
    <row r="871">
      <c r="A871" s="152"/>
      <c r="B871" s="152"/>
      <c r="C871" s="152"/>
      <c r="D871" s="152"/>
      <c r="E871" s="152"/>
      <c r="F871" s="152"/>
      <c r="G871" s="152"/>
      <c r="H871" s="152"/>
      <c r="I871" s="152"/>
      <c r="J871" s="152"/>
      <c r="K871" s="152"/>
      <c r="L871" s="152"/>
      <c r="M871" s="152"/>
      <c r="N871" s="152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  <c r="Y871" s="152"/>
      <c r="Z871" s="152"/>
      <c r="AA871" s="152"/>
      <c r="AB871" s="152"/>
      <c r="AC871" s="152"/>
      <c r="AD871" s="152"/>
      <c r="AE871" s="152"/>
      <c r="AF871" s="152"/>
      <c r="AG871" s="152"/>
      <c r="AH871" s="152"/>
      <c r="AI871" s="152"/>
      <c r="AJ871" s="152"/>
      <c r="AK871" s="152"/>
      <c r="AL871" s="152"/>
      <c r="AM871" s="152"/>
    </row>
    <row r="872">
      <c r="A872" s="152"/>
      <c r="B872" s="152"/>
      <c r="C872" s="152"/>
      <c r="D872" s="152"/>
      <c r="E872" s="152"/>
      <c r="F872" s="152"/>
      <c r="G872" s="152"/>
      <c r="H872" s="152"/>
      <c r="I872" s="152"/>
      <c r="J872" s="152"/>
      <c r="K872" s="152"/>
      <c r="L872" s="152"/>
      <c r="M872" s="152"/>
      <c r="N872" s="152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  <c r="AA872" s="152"/>
      <c r="AB872" s="152"/>
      <c r="AC872" s="152"/>
      <c r="AD872" s="152"/>
      <c r="AE872" s="152"/>
      <c r="AF872" s="152"/>
      <c r="AG872" s="152"/>
      <c r="AH872" s="152"/>
      <c r="AI872" s="152"/>
      <c r="AJ872" s="152"/>
      <c r="AK872" s="152"/>
      <c r="AL872" s="152"/>
      <c r="AM872" s="152"/>
    </row>
    <row r="873">
      <c r="A873" s="152"/>
      <c r="B873" s="152"/>
      <c r="C873" s="152"/>
      <c r="D873" s="152"/>
      <c r="E873" s="152"/>
      <c r="F873" s="152"/>
      <c r="G873" s="152"/>
      <c r="H873" s="152"/>
      <c r="I873" s="152"/>
      <c r="J873" s="152"/>
      <c r="K873" s="152"/>
      <c r="L873" s="152"/>
      <c r="M873" s="152"/>
      <c r="N873" s="152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  <c r="Y873" s="152"/>
      <c r="Z873" s="152"/>
      <c r="AA873" s="152"/>
      <c r="AB873" s="152"/>
      <c r="AC873" s="152"/>
      <c r="AD873" s="152"/>
      <c r="AE873" s="152"/>
      <c r="AF873" s="152"/>
      <c r="AG873" s="152"/>
      <c r="AH873" s="152"/>
      <c r="AI873" s="152"/>
      <c r="AJ873" s="152"/>
      <c r="AK873" s="152"/>
      <c r="AL873" s="152"/>
      <c r="AM873" s="152"/>
    </row>
    <row r="874">
      <c r="A874" s="152"/>
      <c r="B874" s="152"/>
      <c r="C874" s="152"/>
      <c r="D874" s="152"/>
      <c r="E874" s="152"/>
      <c r="F874" s="152"/>
      <c r="G874" s="152"/>
      <c r="H874" s="152"/>
      <c r="I874" s="152"/>
      <c r="J874" s="152"/>
      <c r="K874" s="152"/>
      <c r="L874" s="152"/>
      <c r="M874" s="152"/>
      <c r="N874" s="152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  <c r="Y874" s="152"/>
      <c r="Z874" s="152"/>
      <c r="AA874" s="152"/>
      <c r="AB874" s="152"/>
      <c r="AC874" s="152"/>
      <c r="AD874" s="152"/>
      <c r="AE874" s="152"/>
      <c r="AF874" s="152"/>
      <c r="AG874" s="152"/>
      <c r="AH874" s="152"/>
      <c r="AI874" s="152"/>
      <c r="AJ874" s="152"/>
      <c r="AK874" s="152"/>
      <c r="AL874" s="152"/>
      <c r="AM874" s="152"/>
    </row>
    <row r="875">
      <c r="A875" s="152"/>
      <c r="B875" s="152"/>
      <c r="C875" s="152"/>
      <c r="D875" s="152"/>
      <c r="E875" s="152"/>
      <c r="F875" s="152"/>
      <c r="G875" s="152"/>
      <c r="H875" s="152"/>
      <c r="I875" s="152"/>
      <c r="J875" s="152"/>
      <c r="K875" s="152"/>
      <c r="L875" s="152"/>
      <c r="M875" s="152"/>
      <c r="N875" s="152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  <c r="Y875" s="152"/>
      <c r="Z875" s="152"/>
      <c r="AA875" s="152"/>
      <c r="AB875" s="152"/>
      <c r="AC875" s="152"/>
      <c r="AD875" s="152"/>
      <c r="AE875" s="152"/>
      <c r="AF875" s="152"/>
      <c r="AG875" s="152"/>
      <c r="AH875" s="152"/>
      <c r="AI875" s="152"/>
      <c r="AJ875" s="152"/>
      <c r="AK875" s="152"/>
      <c r="AL875" s="152"/>
      <c r="AM875" s="152"/>
    </row>
    <row r="876">
      <c r="A876" s="152"/>
      <c r="B876" s="152"/>
      <c r="C876" s="152"/>
      <c r="D876" s="152"/>
      <c r="E876" s="152"/>
      <c r="F876" s="152"/>
      <c r="G876" s="152"/>
      <c r="H876" s="152"/>
      <c r="I876" s="152"/>
      <c r="J876" s="152"/>
      <c r="K876" s="152"/>
      <c r="L876" s="152"/>
      <c r="M876" s="152"/>
      <c r="N876" s="152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  <c r="Y876" s="152"/>
      <c r="Z876" s="152"/>
      <c r="AA876" s="152"/>
      <c r="AB876" s="152"/>
      <c r="AC876" s="152"/>
      <c r="AD876" s="152"/>
      <c r="AE876" s="152"/>
      <c r="AF876" s="152"/>
      <c r="AG876" s="152"/>
      <c r="AH876" s="152"/>
      <c r="AI876" s="152"/>
      <c r="AJ876" s="152"/>
      <c r="AK876" s="152"/>
      <c r="AL876" s="152"/>
      <c r="AM876" s="152"/>
    </row>
    <row r="877">
      <c r="A877" s="152"/>
      <c r="B877" s="152"/>
      <c r="C877" s="152"/>
      <c r="D877" s="152"/>
      <c r="E877" s="152"/>
      <c r="F877" s="152"/>
      <c r="G877" s="152"/>
      <c r="H877" s="152"/>
      <c r="I877" s="152"/>
      <c r="J877" s="152"/>
      <c r="K877" s="152"/>
      <c r="L877" s="152"/>
      <c r="M877" s="152"/>
      <c r="N877" s="152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  <c r="Y877" s="152"/>
      <c r="Z877" s="152"/>
      <c r="AA877" s="152"/>
      <c r="AB877" s="152"/>
      <c r="AC877" s="152"/>
      <c r="AD877" s="152"/>
      <c r="AE877" s="152"/>
      <c r="AF877" s="152"/>
      <c r="AG877" s="152"/>
      <c r="AH877" s="152"/>
      <c r="AI877" s="152"/>
      <c r="AJ877" s="152"/>
      <c r="AK877" s="152"/>
      <c r="AL877" s="152"/>
      <c r="AM877" s="152"/>
    </row>
    <row r="878">
      <c r="A878" s="152"/>
      <c r="B878" s="152"/>
      <c r="C878" s="152"/>
      <c r="D878" s="152"/>
      <c r="E878" s="152"/>
      <c r="F878" s="152"/>
      <c r="G878" s="152"/>
      <c r="H878" s="152"/>
      <c r="I878" s="152"/>
      <c r="J878" s="152"/>
      <c r="K878" s="152"/>
      <c r="L878" s="152"/>
      <c r="M878" s="152"/>
      <c r="N878" s="152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  <c r="Y878" s="152"/>
      <c r="Z878" s="152"/>
      <c r="AA878" s="152"/>
      <c r="AB878" s="152"/>
      <c r="AC878" s="152"/>
      <c r="AD878" s="152"/>
      <c r="AE878" s="152"/>
      <c r="AF878" s="152"/>
      <c r="AG878" s="152"/>
      <c r="AH878" s="152"/>
      <c r="AI878" s="152"/>
      <c r="AJ878" s="152"/>
      <c r="AK878" s="152"/>
      <c r="AL878" s="152"/>
      <c r="AM878" s="152"/>
    </row>
    <row r="879">
      <c r="A879" s="152"/>
      <c r="B879" s="152"/>
      <c r="C879" s="152"/>
      <c r="D879" s="152"/>
      <c r="E879" s="152"/>
      <c r="F879" s="152"/>
      <c r="G879" s="152"/>
      <c r="H879" s="152"/>
      <c r="I879" s="152"/>
      <c r="J879" s="152"/>
      <c r="K879" s="152"/>
      <c r="L879" s="152"/>
      <c r="M879" s="152"/>
      <c r="N879" s="152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  <c r="Y879" s="152"/>
      <c r="Z879" s="152"/>
      <c r="AA879" s="152"/>
      <c r="AB879" s="152"/>
      <c r="AC879" s="152"/>
      <c r="AD879" s="152"/>
      <c r="AE879" s="152"/>
      <c r="AF879" s="152"/>
      <c r="AG879" s="152"/>
      <c r="AH879" s="152"/>
      <c r="AI879" s="152"/>
      <c r="AJ879" s="152"/>
      <c r="AK879" s="152"/>
      <c r="AL879" s="152"/>
      <c r="AM879" s="152"/>
    </row>
    <row r="880">
      <c r="A880" s="152"/>
      <c r="B880" s="152"/>
      <c r="C880" s="152"/>
      <c r="D880" s="152"/>
      <c r="E880" s="152"/>
      <c r="F880" s="152"/>
      <c r="G880" s="152"/>
      <c r="H880" s="152"/>
      <c r="I880" s="152"/>
      <c r="J880" s="152"/>
      <c r="K880" s="152"/>
      <c r="L880" s="152"/>
      <c r="M880" s="152"/>
      <c r="N880" s="152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  <c r="Y880" s="152"/>
      <c r="Z880" s="152"/>
      <c r="AA880" s="152"/>
      <c r="AB880" s="152"/>
      <c r="AC880" s="152"/>
      <c r="AD880" s="152"/>
      <c r="AE880" s="152"/>
      <c r="AF880" s="152"/>
      <c r="AG880" s="152"/>
      <c r="AH880" s="152"/>
      <c r="AI880" s="152"/>
      <c r="AJ880" s="152"/>
      <c r="AK880" s="152"/>
      <c r="AL880" s="152"/>
      <c r="AM880" s="152"/>
    </row>
    <row r="881">
      <c r="A881" s="152"/>
      <c r="B881" s="152"/>
      <c r="C881" s="152"/>
      <c r="D881" s="152"/>
      <c r="E881" s="152"/>
      <c r="F881" s="152"/>
      <c r="G881" s="152"/>
      <c r="H881" s="152"/>
      <c r="I881" s="152"/>
      <c r="J881" s="152"/>
      <c r="K881" s="152"/>
      <c r="L881" s="152"/>
      <c r="M881" s="152"/>
      <c r="N881" s="152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  <c r="Y881" s="152"/>
      <c r="Z881" s="152"/>
      <c r="AA881" s="152"/>
      <c r="AB881" s="152"/>
      <c r="AC881" s="152"/>
      <c r="AD881" s="152"/>
      <c r="AE881" s="152"/>
      <c r="AF881" s="152"/>
      <c r="AG881" s="152"/>
      <c r="AH881" s="152"/>
      <c r="AI881" s="152"/>
      <c r="AJ881" s="152"/>
      <c r="AK881" s="152"/>
      <c r="AL881" s="152"/>
      <c r="AM881" s="152"/>
    </row>
    <row r="882">
      <c r="A882" s="152"/>
      <c r="B882" s="152"/>
      <c r="C882" s="152"/>
      <c r="D882" s="152"/>
      <c r="E882" s="152"/>
      <c r="F882" s="152"/>
      <c r="G882" s="152"/>
      <c r="H882" s="152"/>
      <c r="I882" s="152"/>
      <c r="J882" s="152"/>
      <c r="K882" s="152"/>
      <c r="L882" s="152"/>
      <c r="M882" s="152"/>
      <c r="N882" s="152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  <c r="Y882" s="152"/>
      <c r="Z882" s="152"/>
      <c r="AA882" s="152"/>
      <c r="AB882" s="152"/>
      <c r="AC882" s="152"/>
      <c r="AD882" s="152"/>
      <c r="AE882" s="152"/>
      <c r="AF882" s="152"/>
      <c r="AG882" s="152"/>
      <c r="AH882" s="152"/>
      <c r="AI882" s="152"/>
      <c r="AJ882" s="152"/>
      <c r="AK882" s="152"/>
      <c r="AL882" s="152"/>
      <c r="AM882" s="152"/>
    </row>
    <row r="883">
      <c r="A883" s="152"/>
      <c r="B883" s="152"/>
      <c r="C883" s="152"/>
      <c r="D883" s="152"/>
      <c r="E883" s="152"/>
      <c r="F883" s="152"/>
      <c r="G883" s="152"/>
      <c r="H883" s="152"/>
      <c r="I883" s="152"/>
      <c r="J883" s="152"/>
      <c r="K883" s="152"/>
      <c r="L883" s="152"/>
      <c r="M883" s="152"/>
      <c r="N883" s="152"/>
      <c r="O883" s="152"/>
      <c r="P883" s="152"/>
      <c r="Q883" s="152"/>
      <c r="R883" s="152"/>
      <c r="S883" s="152"/>
      <c r="T883" s="152"/>
      <c r="U883" s="152"/>
      <c r="V883" s="152"/>
      <c r="W883" s="152"/>
      <c r="X883" s="152"/>
      <c r="Y883" s="152"/>
      <c r="Z883" s="152"/>
      <c r="AA883" s="152"/>
      <c r="AB883" s="152"/>
      <c r="AC883" s="152"/>
      <c r="AD883" s="152"/>
      <c r="AE883" s="152"/>
      <c r="AF883" s="152"/>
      <c r="AG883" s="152"/>
      <c r="AH883" s="152"/>
      <c r="AI883" s="152"/>
      <c r="AJ883" s="152"/>
      <c r="AK883" s="152"/>
      <c r="AL883" s="152"/>
      <c r="AM883" s="152"/>
    </row>
    <row r="884">
      <c r="A884" s="152"/>
      <c r="B884" s="152"/>
      <c r="C884" s="152"/>
      <c r="D884" s="152"/>
      <c r="E884" s="152"/>
      <c r="F884" s="152"/>
      <c r="G884" s="152"/>
      <c r="H884" s="152"/>
      <c r="I884" s="152"/>
      <c r="J884" s="152"/>
      <c r="K884" s="152"/>
      <c r="L884" s="152"/>
      <c r="M884" s="152"/>
      <c r="N884" s="152"/>
      <c r="O884" s="152"/>
      <c r="P884" s="152"/>
      <c r="Q884" s="152"/>
      <c r="R884" s="152"/>
      <c r="S884" s="152"/>
      <c r="T884" s="152"/>
      <c r="U884" s="152"/>
      <c r="V884" s="152"/>
      <c r="W884" s="152"/>
      <c r="X884" s="152"/>
      <c r="Y884" s="152"/>
      <c r="Z884" s="152"/>
      <c r="AA884" s="152"/>
      <c r="AB884" s="152"/>
      <c r="AC884" s="152"/>
      <c r="AD884" s="152"/>
      <c r="AE884" s="152"/>
      <c r="AF884" s="152"/>
      <c r="AG884" s="152"/>
      <c r="AH884" s="152"/>
      <c r="AI884" s="152"/>
      <c r="AJ884" s="152"/>
      <c r="AK884" s="152"/>
      <c r="AL884" s="152"/>
      <c r="AM884" s="152"/>
    </row>
    <row r="885">
      <c r="A885" s="152"/>
      <c r="B885" s="152"/>
      <c r="C885" s="152"/>
      <c r="D885" s="152"/>
      <c r="E885" s="152"/>
      <c r="F885" s="152"/>
      <c r="G885" s="152"/>
      <c r="H885" s="152"/>
      <c r="I885" s="152"/>
      <c r="J885" s="152"/>
      <c r="K885" s="152"/>
      <c r="L885" s="152"/>
      <c r="M885" s="152"/>
      <c r="N885" s="152"/>
      <c r="O885" s="152"/>
      <c r="P885" s="152"/>
      <c r="Q885" s="152"/>
      <c r="R885" s="152"/>
      <c r="S885" s="152"/>
      <c r="T885" s="152"/>
      <c r="U885" s="152"/>
      <c r="V885" s="152"/>
      <c r="W885" s="152"/>
      <c r="X885" s="152"/>
      <c r="Y885" s="152"/>
      <c r="Z885" s="152"/>
      <c r="AA885" s="152"/>
      <c r="AB885" s="152"/>
      <c r="AC885" s="152"/>
      <c r="AD885" s="152"/>
      <c r="AE885" s="152"/>
      <c r="AF885" s="152"/>
      <c r="AG885" s="152"/>
      <c r="AH885" s="152"/>
      <c r="AI885" s="152"/>
      <c r="AJ885" s="152"/>
      <c r="AK885" s="152"/>
      <c r="AL885" s="152"/>
      <c r="AM885" s="152"/>
    </row>
    <row r="886">
      <c r="A886" s="152"/>
      <c r="B886" s="152"/>
      <c r="C886" s="152"/>
      <c r="D886" s="152"/>
      <c r="E886" s="152"/>
      <c r="F886" s="152"/>
      <c r="G886" s="152"/>
      <c r="H886" s="152"/>
      <c r="I886" s="152"/>
      <c r="J886" s="152"/>
      <c r="K886" s="152"/>
      <c r="L886" s="152"/>
      <c r="M886" s="152"/>
      <c r="N886" s="152"/>
      <c r="O886" s="152"/>
      <c r="P886" s="152"/>
      <c r="Q886" s="152"/>
      <c r="R886" s="152"/>
      <c r="S886" s="152"/>
      <c r="T886" s="152"/>
      <c r="U886" s="152"/>
      <c r="V886" s="152"/>
      <c r="W886" s="152"/>
      <c r="X886" s="152"/>
      <c r="Y886" s="152"/>
      <c r="Z886" s="152"/>
      <c r="AA886" s="152"/>
      <c r="AB886" s="152"/>
      <c r="AC886" s="152"/>
      <c r="AD886" s="152"/>
      <c r="AE886" s="152"/>
      <c r="AF886" s="152"/>
      <c r="AG886" s="152"/>
      <c r="AH886" s="152"/>
      <c r="AI886" s="152"/>
      <c r="AJ886" s="152"/>
      <c r="AK886" s="152"/>
      <c r="AL886" s="152"/>
      <c r="AM886" s="152"/>
    </row>
    <row r="887">
      <c r="A887" s="152"/>
      <c r="B887" s="152"/>
      <c r="C887" s="152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  <c r="AA887" s="152"/>
      <c r="AB887" s="152"/>
      <c r="AC887" s="152"/>
      <c r="AD887" s="152"/>
      <c r="AE887" s="152"/>
      <c r="AF887" s="152"/>
      <c r="AG887" s="152"/>
      <c r="AH887" s="152"/>
      <c r="AI887" s="152"/>
      <c r="AJ887" s="152"/>
      <c r="AK887" s="152"/>
      <c r="AL887" s="152"/>
      <c r="AM887" s="152"/>
    </row>
    <row r="888">
      <c r="A888" s="152"/>
      <c r="B888" s="152"/>
      <c r="C888" s="152"/>
      <c r="D888" s="152"/>
      <c r="E888" s="152"/>
      <c r="F888" s="152"/>
      <c r="G888" s="152"/>
      <c r="H888" s="152"/>
      <c r="I888" s="152"/>
      <c r="J888" s="152"/>
      <c r="K888" s="152"/>
      <c r="L888" s="152"/>
      <c r="M888" s="152"/>
      <c r="N888" s="152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  <c r="Y888" s="152"/>
      <c r="Z888" s="152"/>
      <c r="AA888" s="152"/>
      <c r="AB888" s="152"/>
      <c r="AC888" s="152"/>
      <c r="AD888" s="152"/>
      <c r="AE888" s="152"/>
      <c r="AF888" s="152"/>
      <c r="AG888" s="152"/>
      <c r="AH888" s="152"/>
      <c r="AI888" s="152"/>
      <c r="AJ888" s="152"/>
      <c r="AK888" s="152"/>
      <c r="AL888" s="152"/>
      <c r="AM888" s="152"/>
    </row>
    <row r="889">
      <c r="A889" s="152"/>
      <c r="B889" s="152"/>
      <c r="C889" s="152"/>
      <c r="D889" s="152"/>
      <c r="E889" s="152"/>
      <c r="F889" s="152"/>
      <c r="G889" s="152"/>
      <c r="H889" s="152"/>
      <c r="I889" s="152"/>
      <c r="J889" s="152"/>
      <c r="K889" s="152"/>
      <c r="L889" s="152"/>
      <c r="M889" s="152"/>
      <c r="N889" s="152"/>
      <c r="O889" s="152"/>
      <c r="P889" s="152"/>
      <c r="Q889" s="152"/>
      <c r="R889" s="152"/>
      <c r="S889" s="152"/>
      <c r="T889" s="152"/>
      <c r="U889" s="152"/>
      <c r="V889" s="152"/>
      <c r="W889" s="152"/>
      <c r="X889" s="152"/>
      <c r="Y889" s="152"/>
      <c r="Z889" s="152"/>
      <c r="AA889" s="152"/>
      <c r="AB889" s="152"/>
      <c r="AC889" s="152"/>
      <c r="AD889" s="152"/>
      <c r="AE889" s="152"/>
      <c r="AF889" s="152"/>
      <c r="AG889" s="152"/>
      <c r="AH889" s="152"/>
      <c r="AI889" s="152"/>
      <c r="AJ889" s="152"/>
      <c r="AK889" s="152"/>
      <c r="AL889" s="152"/>
      <c r="AM889" s="152"/>
    </row>
    <row r="890">
      <c r="A890" s="152"/>
      <c r="B890" s="152"/>
      <c r="C890" s="152"/>
      <c r="D890" s="152"/>
      <c r="E890" s="152"/>
      <c r="F890" s="152"/>
      <c r="G890" s="152"/>
      <c r="H890" s="152"/>
      <c r="I890" s="152"/>
      <c r="J890" s="152"/>
      <c r="K890" s="152"/>
      <c r="L890" s="152"/>
      <c r="M890" s="152"/>
      <c r="N890" s="152"/>
      <c r="O890" s="152"/>
      <c r="P890" s="152"/>
      <c r="Q890" s="152"/>
      <c r="R890" s="152"/>
      <c r="S890" s="152"/>
      <c r="T890" s="152"/>
      <c r="U890" s="152"/>
      <c r="V890" s="152"/>
      <c r="W890" s="152"/>
      <c r="X890" s="152"/>
      <c r="Y890" s="152"/>
      <c r="Z890" s="152"/>
      <c r="AA890" s="152"/>
      <c r="AB890" s="152"/>
      <c r="AC890" s="152"/>
      <c r="AD890" s="152"/>
      <c r="AE890" s="152"/>
      <c r="AF890" s="152"/>
      <c r="AG890" s="152"/>
      <c r="AH890" s="152"/>
      <c r="AI890" s="152"/>
      <c r="AJ890" s="152"/>
      <c r="AK890" s="152"/>
      <c r="AL890" s="152"/>
      <c r="AM890" s="152"/>
    </row>
    <row r="891">
      <c r="A891" s="152"/>
      <c r="B891" s="152"/>
      <c r="C891" s="152"/>
      <c r="D891" s="152"/>
      <c r="E891" s="152"/>
      <c r="F891" s="152"/>
      <c r="G891" s="152"/>
      <c r="H891" s="152"/>
      <c r="I891" s="152"/>
      <c r="J891" s="152"/>
      <c r="K891" s="152"/>
      <c r="L891" s="152"/>
      <c r="M891" s="152"/>
      <c r="N891" s="152"/>
      <c r="O891" s="152"/>
      <c r="P891" s="152"/>
      <c r="Q891" s="152"/>
      <c r="R891" s="152"/>
      <c r="S891" s="152"/>
      <c r="T891" s="152"/>
      <c r="U891" s="152"/>
      <c r="V891" s="152"/>
      <c r="W891" s="152"/>
      <c r="X891" s="152"/>
      <c r="Y891" s="152"/>
      <c r="Z891" s="152"/>
      <c r="AA891" s="152"/>
      <c r="AB891" s="152"/>
      <c r="AC891" s="152"/>
      <c r="AD891" s="152"/>
      <c r="AE891" s="152"/>
      <c r="AF891" s="152"/>
      <c r="AG891" s="152"/>
      <c r="AH891" s="152"/>
      <c r="AI891" s="152"/>
      <c r="AJ891" s="152"/>
      <c r="AK891" s="152"/>
      <c r="AL891" s="152"/>
      <c r="AM891" s="152"/>
    </row>
    <row r="892">
      <c r="A892" s="152"/>
      <c r="B892" s="152"/>
      <c r="C892" s="152"/>
      <c r="D892" s="152"/>
      <c r="E892" s="152"/>
      <c r="F892" s="152"/>
      <c r="G892" s="152"/>
      <c r="H892" s="152"/>
      <c r="I892" s="152"/>
      <c r="J892" s="152"/>
      <c r="K892" s="152"/>
      <c r="L892" s="152"/>
      <c r="M892" s="152"/>
      <c r="N892" s="152"/>
      <c r="O892" s="152"/>
      <c r="P892" s="152"/>
      <c r="Q892" s="152"/>
      <c r="R892" s="152"/>
      <c r="S892" s="152"/>
      <c r="T892" s="152"/>
      <c r="U892" s="152"/>
      <c r="V892" s="152"/>
      <c r="W892" s="152"/>
      <c r="X892" s="152"/>
      <c r="Y892" s="152"/>
      <c r="Z892" s="152"/>
      <c r="AA892" s="152"/>
      <c r="AB892" s="152"/>
      <c r="AC892" s="152"/>
      <c r="AD892" s="152"/>
      <c r="AE892" s="152"/>
      <c r="AF892" s="152"/>
      <c r="AG892" s="152"/>
      <c r="AH892" s="152"/>
      <c r="AI892" s="152"/>
      <c r="AJ892" s="152"/>
      <c r="AK892" s="152"/>
      <c r="AL892" s="152"/>
      <c r="AM892" s="152"/>
    </row>
    <row r="893">
      <c r="A893" s="152"/>
      <c r="B893" s="152"/>
      <c r="C893" s="152"/>
      <c r="D893" s="152"/>
      <c r="E893" s="152"/>
      <c r="F893" s="152"/>
      <c r="G893" s="152"/>
      <c r="H893" s="152"/>
      <c r="I893" s="152"/>
      <c r="J893" s="152"/>
      <c r="K893" s="152"/>
      <c r="L893" s="152"/>
      <c r="M893" s="152"/>
      <c r="N893" s="152"/>
      <c r="O893" s="152"/>
      <c r="P893" s="152"/>
      <c r="Q893" s="152"/>
      <c r="R893" s="152"/>
      <c r="S893" s="152"/>
      <c r="T893" s="152"/>
      <c r="U893" s="152"/>
      <c r="V893" s="152"/>
      <c r="W893" s="152"/>
      <c r="X893" s="152"/>
      <c r="Y893" s="152"/>
      <c r="Z893" s="152"/>
      <c r="AA893" s="152"/>
      <c r="AB893" s="152"/>
      <c r="AC893" s="152"/>
      <c r="AD893" s="152"/>
      <c r="AE893" s="152"/>
      <c r="AF893" s="152"/>
      <c r="AG893" s="152"/>
      <c r="AH893" s="152"/>
      <c r="AI893" s="152"/>
      <c r="AJ893" s="152"/>
      <c r="AK893" s="152"/>
      <c r="AL893" s="152"/>
      <c r="AM893" s="152"/>
    </row>
    <row r="894">
      <c r="A894" s="152"/>
      <c r="B894" s="152"/>
      <c r="C894" s="152"/>
      <c r="D894" s="152"/>
      <c r="E894" s="152"/>
      <c r="F894" s="152"/>
      <c r="G894" s="152"/>
      <c r="H894" s="152"/>
      <c r="I894" s="152"/>
      <c r="J894" s="152"/>
      <c r="K894" s="152"/>
      <c r="L894" s="152"/>
      <c r="M894" s="152"/>
      <c r="N894" s="152"/>
      <c r="O894" s="152"/>
      <c r="P894" s="152"/>
      <c r="Q894" s="152"/>
      <c r="R894" s="152"/>
      <c r="S894" s="152"/>
      <c r="T894" s="152"/>
      <c r="U894" s="152"/>
      <c r="V894" s="152"/>
      <c r="W894" s="152"/>
      <c r="X894" s="152"/>
      <c r="Y894" s="152"/>
      <c r="Z894" s="152"/>
      <c r="AA894" s="152"/>
      <c r="AB894" s="152"/>
      <c r="AC894" s="152"/>
      <c r="AD894" s="152"/>
      <c r="AE894" s="152"/>
      <c r="AF894" s="152"/>
      <c r="AG894" s="152"/>
      <c r="AH894" s="152"/>
      <c r="AI894" s="152"/>
      <c r="AJ894" s="152"/>
      <c r="AK894" s="152"/>
      <c r="AL894" s="152"/>
      <c r="AM894" s="152"/>
    </row>
    <row r="895">
      <c r="A895" s="152"/>
      <c r="B895" s="152"/>
      <c r="C895" s="152"/>
      <c r="D895" s="152"/>
      <c r="E895" s="152"/>
      <c r="F895" s="152"/>
      <c r="G895" s="152"/>
      <c r="H895" s="152"/>
      <c r="I895" s="152"/>
      <c r="J895" s="152"/>
      <c r="K895" s="152"/>
      <c r="L895" s="152"/>
      <c r="M895" s="152"/>
      <c r="N895" s="152"/>
      <c r="O895" s="152"/>
      <c r="P895" s="152"/>
      <c r="Q895" s="152"/>
      <c r="R895" s="152"/>
      <c r="S895" s="152"/>
      <c r="T895" s="152"/>
      <c r="U895" s="152"/>
      <c r="V895" s="152"/>
      <c r="W895" s="152"/>
      <c r="X895" s="152"/>
      <c r="Y895" s="152"/>
      <c r="Z895" s="152"/>
      <c r="AA895" s="152"/>
      <c r="AB895" s="152"/>
      <c r="AC895" s="152"/>
      <c r="AD895" s="152"/>
      <c r="AE895" s="152"/>
      <c r="AF895" s="152"/>
      <c r="AG895" s="152"/>
      <c r="AH895" s="152"/>
      <c r="AI895" s="152"/>
      <c r="AJ895" s="152"/>
      <c r="AK895" s="152"/>
      <c r="AL895" s="152"/>
      <c r="AM895" s="152"/>
    </row>
    <row r="896">
      <c r="A896" s="152"/>
      <c r="B896" s="152"/>
      <c r="C896" s="152"/>
      <c r="D896" s="152"/>
      <c r="E896" s="152"/>
      <c r="F896" s="152"/>
      <c r="G896" s="152"/>
      <c r="H896" s="152"/>
      <c r="I896" s="152"/>
      <c r="J896" s="152"/>
      <c r="K896" s="152"/>
      <c r="L896" s="152"/>
      <c r="M896" s="152"/>
      <c r="N896" s="152"/>
      <c r="O896" s="152"/>
      <c r="P896" s="152"/>
      <c r="Q896" s="152"/>
      <c r="R896" s="152"/>
      <c r="S896" s="152"/>
      <c r="T896" s="152"/>
      <c r="U896" s="152"/>
      <c r="V896" s="152"/>
      <c r="W896" s="152"/>
      <c r="X896" s="152"/>
      <c r="Y896" s="152"/>
      <c r="Z896" s="152"/>
      <c r="AA896" s="152"/>
      <c r="AB896" s="152"/>
      <c r="AC896" s="152"/>
      <c r="AD896" s="152"/>
      <c r="AE896" s="152"/>
      <c r="AF896" s="152"/>
      <c r="AG896" s="152"/>
      <c r="AH896" s="152"/>
      <c r="AI896" s="152"/>
      <c r="AJ896" s="152"/>
      <c r="AK896" s="152"/>
      <c r="AL896" s="152"/>
      <c r="AM896" s="152"/>
    </row>
    <row r="897">
      <c r="A897" s="152"/>
      <c r="B897" s="152"/>
      <c r="C897" s="152"/>
      <c r="D897" s="152"/>
      <c r="E897" s="152"/>
      <c r="F897" s="152"/>
      <c r="G897" s="152"/>
      <c r="H897" s="152"/>
      <c r="I897" s="152"/>
      <c r="J897" s="152"/>
      <c r="K897" s="152"/>
      <c r="L897" s="152"/>
      <c r="M897" s="152"/>
      <c r="N897" s="152"/>
      <c r="O897" s="152"/>
      <c r="P897" s="152"/>
      <c r="Q897" s="152"/>
      <c r="R897" s="152"/>
      <c r="S897" s="152"/>
      <c r="T897" s="152"/>
      <c r="U897" s="152"/>
      <c r="V897" s="152"/>
      <c r="W897" s="152"/>
      <c r="X897" s="152"/>
      <c r="Y897" s="152"/>
      <c r="Z897" s="152"/>
      <c r="AA897" s="152"/>
      <c r="AB897" s="152"/>
      <c r="AC897" s="152"/>
      <c r="AD897" s="152"/>
      <c r="AE897" s="152"/>
      <c r="AF897" s="152"/>
      <c r="AG897" s="152"/>
      <c r="AH897" s="152"/>
      <c r="AI897" s="152"/>
      <c r="AJ897" s="152"/>
      <c r="AK897" s="152"/>
      <c r="AL897" s="152"/>
      <c r="AM897" s="152"/>
    </row>
    <row r="898">
      <c r="A898" s="152"/>
      <c r="B898" s="152"/>
      <c r="C898" s="152"/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  <c r="AA898" s="152"/>
      <c r="AB898" s="152"/>
      <c r="AC898" s="152"/>
      <c r="AD898" s="152"/>
      <c r="AE898" s="152"/>
      <c r="AF898" s="152"/>
      <c r="AG898" s="152"/>
      <c r="AH898" s="152"/>
      <c r="AI898" s="152"/>
      <c r="AJ898" s="152"/>
      <c r="AK898" s="152"/>
      <c r="AL898" s="152"/>
      <c r="AM898" s="152"/>
    </row>
    <row r="899">
      <c r="A899" s="152"/>
      <c r="B899" s="152"/>
      <c r="C899" s="152"/>
      <c r="D899" s="152"/>
      <c r="E899" s="152"/>
      <c r="F899" s="152"/>
      <c r="G899" s="152"/>
      <c r="H899" s="152"/>
      <c r="I899" s="152"/>
      <c r="J899" s="152"/>
      <c r="K899" s="152"/>
      <c r="L899" s="152"/>
      <c r="M899" s="152"/>
      <c r="N899" s="152"/>
      <c r="O899" s="152"/>
      <c r="P899" s="152"/>
      <c r="Q899" s="152"/>
      <c r="R899" s="152"/>
      <c r="S899" s="152"/>
      <c r="T899" s="152"/>
      <c r="U899" s="152"/>
      <c r="V899" s="152"/>
      <c r="W899" s="152"/>
      <c r="X899" s="152"/>
      <c r="Y899" s="152"/>
      <c r="Z899" s="152"/>
      <c r="AA899" s="152"/>
      <c r="AB899" s="152"/>
      <c r="AC899" s="152"/>
      <c r="AD899" s="152"/>
      <c r="AE899" s="152"/>
      <c r="AF899" s="152"/>
      <c r="AG899" s="152"/>
      <c r="AH899" s="152"/>
      <c r="AI899" s="152"/>
      <c r="AJ899" s="152"/>
      <c r="AK899" s="152"/>
      <c r="AL899" s="152"/>
      <c r="AM899" s="152"/>
    </row>
    <row r="900">
      <c r="A900" s="152"/>
      <c r="B900" s="152"/>
      <c r="C900" s="152"/>
      <c r="D900" s="152"/>
      <c r="E900" s="152"/>
      <c r="F900" s="152"/>
      <c r="G900" s="152"/>
      <c r="H900" s="152"/>
      <c r="I900" s="152"/>
      <c r="J900" s="152"/>
      <c r="K900" s="152"/>
      <c r="L900" s="152"/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  <c r="Y900" s="152"/>
      <c r="Z900" s="152"/>
      <c r="AA900" s="152"/>
      <c r="AB900" s="152"/>
      <c r="AC900" s="152"/>
      <c r="AD900" s="152"/>
      <c r="AE900" s="152"/>
      <c r="AF900" s="152"/>
      <c r="AG900" s="152"/>
      <c r="AH900" s="152"/>
      <c r="AI900" s="152"/>
      <c r="AJ900" s="152"/>
      <c r="AK900" s="152"/>
      <c r="AL900" s="152"/>
      <c r="AM900" s="152"/>
    </row>
    <row r="901">
      <c r="A901" s="152"/>
      <c r="B901" s="152"/>
      <c r="C901" s="152"/>
      <c r="D901" s="152"/>
      <c r="E901" s="152"/>
      <c r="F901" s="152"/>
      <c r="G901" s="152"/>
      <c r="H901" s="152"/>
      <c r="I901" s="152"/>
      <c r="J901" s="152"/>
      <c r="K901" s="152"/>
      <c r="L901" s="152"/>
      <c r="M901" s="152"/>
      <c r="N901" s="152"/>
      <c r="O901" s="152"/>
      <c r="P901" s="152"/>
      <c r="Q901" s="152"/>
      <c r="R901" s="152"/>
      <c r="S901" s="152"/>
      <c r="T901" s="152"/>
      <c r="U901" s="152"/>
      <c r="V901" s="152"/>
      <c r="W901" s="152"/>
      <c r="X901" s="152"/>
      <c r="Y901" s="152"/>
      <c r="Z901" s="152"/>
      <c r="AA901" s="152"/>
      <c r="AB901" s="152"/>
      <c r="AC901" s="152"/>
      <c r="AD901" s="152"/>
      <c r="AE901" s="152"/>
      <c r="AF901" s="152"/>
      <c r="AG901" s="152"/>
      <c r="AH901" s="152"/>
      <c r="AI901" s="152"/>
      <c r="AJ901" s="152"/>
      <c r="AK901" s="152"/>
      <c r="AL901" s="152"/>
      <c r="AM901" s="152"/>
    </row>
    <row r="902">
      <c r="A902" s="152"/>
      <c r="B902" s="152"/>
      <c r="C902" s="152"/>
      <c r="D902" s="152"/>
      <c r="E902" s="152"/>
      <c r="F902" s="152"/>
      <c r="G902" s="152"/>
      <c r="H902" s="152"/>
      <c r="I902" s="152"/>
      <c r="J902" s="152"/>
      <c r="K902" s="152"/>
      <c r="L902" s="152"/>
      <c r="M902" s="152"/>
      <c r="N902" s="152"/>
      <c r="O902" s="152"/>
      <c r="P902" s="152"/>
      <c r="Q902" s="152"/>
      <c r="R902" s="152"/>
      <c r="S902" s="152"/>
      <c r="T902" s="152"/>
      <c r="U902" s="152"/>
      <c r="V902" s="152"/>
      <c r="W902" s="152"/>
      <c r="X902" s="152"/>
      <c r="Y902" s="152"/>
      <c r="Z902" s="152"/>
      <c r="AA902" s="152"/>
      <c r="AB902" s="152"/>
      <c r="AC902" s="152"/>
      <c r="AD902" s="152"/>
      <c r="AE902" s="152"/>
      <c r="AF902" s="152"/>
      <c r="AG902" s="152"/>
      <c r="AH902" s="152"/>
      <c r="AI902" s="152"/>
      <c r="AJ902" s="152"/>
      <c r="AK902" s="152"/>
      <c r="AL902" s="152"/>
      <c r="AM902" s="152"/>
    </row>
    <row r="903">
      <c r="A903" s="152"/>
      <c r="B903" s="152"/>
      <c r="C903" s="152"/>
      <c r="D903" s="152"/>
      <c r="E903" s="152"/>
      <c r="F903" s="152"/>
      <c r="G903" s="152"/>
      <c r="H903" s="152"/>
      <c r="I903" s="152"/>
      <c r="J903" s="152"/>
      <c r="K903" s="152"/>
      <c r="L903" s="152"/>
      <c r="M903" s="152"/>
      <c r="N903" s="152"/>
      <c r="O903" s="152"/>
      <c r="P903" s="152"/>
      <c r="Q903" s="152"/>
      <c r="R903" s="152"/>
      <c r="S903" s="152"/>
      <c r="T903" s="152"/>
      <c r="U903" s="152"/>
      <c r="V903" s="152"/>
      <c r="W903" s="152"/>
      <c r="X903" s="152"/>
      <c r="Y903" s="152"/>
      <c r="Z903" s="152"/>
      <c r="AA903" s="152"/>
      <c r="AB903" s="152"/>
      <c r="AC903" s="152"/>
      <c r="AD903" s="152"/>
      <c r="AE903" s="152"/>
      <c r="AF903" s="152"/>
      <c r="AG903" s="152"/>
      <c r="AH903" s="152"/>
      <c r="AI903" s="152"/>
      <c r="AJ903" s="152"/>
      <c r="AK903" s="152"/>
      <c r="AL903" s="152"/>
      <c r="AM903" s="152"/>
    </row>
    <row r="904">
      <c r="A904" s="152"/>
      <c r="B904" s="152"/>
      <c r="C904" s="152"/>
      <c r="D904" s="152"/>
      <c r="E904" s="152"/>
      <c r="F904" s="152"/>
      <c r="G904" s="152"/>
      <c r="H904" s="152"/>
      <c r="I904" s="152"/>
      <c r="J904" s="152"/>
      <c r="K904" s="152"/>
      <c r="L904" s="152"/>
      <c r="M904" s="152"/>
      <c r="N904" s="152"/>
      <c r="O904" s="152"/>
      <c r="P904" s="152"/>
      <c r="Q904" s="152"/>
      <c r="R904" s="152"/>
      <c r="S904" s="152"/>
      <c r="T904" s="152"/>
      <c r="U904" s="152"/>
      <c r="V904" s="152"/>
      <c r="W904" s="152"/>
      <c r="X904" s="152"/>
      <c r="Y904" s="152"/>
      <c r="Z904" s="152"/>
      <c r="AA904" s="152"/>
      <c r="AB904" s="152"/>
      <c r="AC904" s="152"/>
      <c r="AD904" s="152"/>
      <c r="AE904" s="152"/>
      <c r="AF904" s="152"/>
      <c r="AG904" s="152"/>
      <c r="AH904" s="152"/>
      <c r="AI904" s="152"/>
      <c r="AJ904" s="152"/>
      <c r="AK904" s="152"/>
      <c r="AL904" s="152"/>
      <c r="AM904" s="152"/>
    </row>
    <row r="905">
      <c r="A905" s="152"/>
      <c r="B905" s="152"/>
      <c r="C905" s="152"/>
      <c r="D905" s="152"/>
      <c r="E905" s="152"/>
      <c r="F905" s="152"/>
      <c r="G905" s="152"/>
      <c r="H905" s="152"/>
      <c r="I905" s="152"/>
      <c r="J905" s="152"/>
      <c r="K905" s="152"/>
      <c r="L905" s="152"/>
      <c r="M905" s="152"/>
      <c r="N905" s="152"/>
      <c r="O905" s="152"/>
      <c r="P905" s="152"/>
      <c r="Q905" s="152"/>
      <c r="R905" s="152"/>
      <c r="S905" s="152"/>
      <c r="T905" s="152"/>
      <c r="U905" s="152"/>
      <c r="V905" s="152"/>
      <c r="W905" s="152"/>
      <c r="X905" s="152"/>
      <c r="Y905" s="152"/>
      <c r="Z905" s="152"/>
      <c r="AA905" s="152"/>
      <c r="AB905" s="152"/>
      <c r="AC905" s="152"/>
      <c r="AD905" s="152"/>
      <c r="AE905" s="152"/>
      <c r="AF905" s="152"/>
      <c r="AG905" s="152"/>
      <c r="AH905" s="152"/>
      <c r="AI905" s="152"/>
      <c r="AJ905" s="152"/>
      <c r="AK905" s="152"/>
      <c r="AL905" s="152"/>
      <c r="AM905" s="152"/>
    </row>
    <row r="906">
      <c r="A906" s="152"/>
      <c r="B906" s="152"/>
      <c r="C906" s="152"/>
      <c r="D906" s="152"/>
      <c r="E906" s="152"/>
      <c r="F906" s="152"/>
      <c r="G906" s="152"/>
      <c r="H906" s="152"/>
      <c r="I906" s="152"/>
      <c r="J906" s="152"/>
      <c r="K906" s="152"/>
      <c r="L906" s="152"/>
      <c r="M906" s="152"/>
      <c r="N906" s="152"/>
      <c r="O906" s="152"/>
      <c r="P906" s="152"/>
      <c r="Q906" s="152"/>
      <c r="R906" s="152"/>
      <c r="S906" s="152"/>
      <c r="T906" s="152"/>
      <c r="U906" s="152"/>
      <c r="V906" s="152"/>
      <c r="W906" s="152"/>
      <c r="X906" s="152"/>
      <c r="Y906" s="152"/>
      <c r="Z906" s="152"/>
      <c r="AA906" s="152"/>
      <c r="AB906" s="152"/>
      <c r="AC906" s="152"/>
      <c r="AD906" s="152"/>
      <c r="AE906" s="152"/>
      <c r="AF906" s="152"/>
      <c r="AG906" s="152"/>
      <c r="AH906" s="152"/>
      <c r="AI906" s="152"/>
      <c r="AJ906" s="152"/>
      <c r="AK906" s="152"/>
      <c r="AL906" s="152"/>
      <c r="AM906" s="152"/>
    </row>
    <row r="907">
      <c r="A907" s="152"/>
      <c r="B907" s="152"/>
      <c r="C907" s="152"/>
      <c r="D907" s="152"/>
      <c r="E907" s="152"/>
      <c r="F907" s="152"/>
      <c r="G907" s="152"/>
      <c r="H907" s="152"/>
      <c r="I907" s="152"/>
      <c r="J907" s="152"/>
      <c r="K907" s="152"/>
      <c r="L907" s="152"/>
      <c r="M907" s="152"/>
      <c r="N907" s="152"/>
      <c r="O907" s="152"/>
      <c r="P907" s="152"/>
      <c r="Q907" s="152"/>
      <c r="R907" s="152"/>
      <c r="S907" s="152"/>
      <c r="T907" s="152"/>
      <c r="U907" s="152"/>
      <c r="V907" s="152"/>
      <c r="W907" s="152"/>
      <c r="X907" s="152"/>
      <c r="Y907" s="152"/>
      <c r="Z907" s="152"/>
      <c r="AA907" s="152"/>
      <c r="AB907" s="152"/>
      <c r="AC907" s="152"/>
      <c r="AD907" s="152"/>
      <c r="AE907" s="152"/>
      <c r="AF907" s="152"/>
      <c r="AG907" s="152"/>
      <c r="AH907" s="152"/>
      <c r="AI907" s="152"/>
      <c r="AJ907" s="152"/>
      <c r="AK907" s="152"/>
      <c r="AL907" s="152"/>
      <c r="AM907" s="152"/>
    </row>
    <row r="908">
      <c r="A908" s="152"/>
      <c r="B908" s="152"/>
      <c r="C908" s="152"/>
      <c r="D908" s="152"/>
      <c r="E908" s="152"/>
      <c r="F908" s="152"/>
      <c r="G908" s="152"/>
      <c r="H908" s="152"/>
      <c r="I908" s="152"/>
      <c r="J908" s="152"/>
      <c r="K908" s="152"/>
      <c r="L908" s="152"/>
      <c r="M908" s="152"/>
      <c r="N908" s="152"/>
      <c r="O908" s="152"/>
      <c r="P908" s="152"/>
      <c r="Q908" s="152"/>
      <c r="R908" s="152"/>
      <c r="S908" s="152"/>
      <c r="T908" s="152"/>
      <c r="U908" s="152"/>
      <c r="V908" s="152"/>
      <c r="W908" s="152"/>
      <c r="X908" s="152"/>
      <c r="Y908" s="152"/>
      <c r="Z908" s="152"/>
      <c r="AA908" s="152"/>
      <c r="AB908" s="152"/>
      <c r="AC908" s="152"/>
      <c r="AD908" s="152"/>
      <c r="AE908" s="152"/>
      <c r="AF908" s="152"/>
      <c r="AG908" s="152"/>
      <c r="AH908" s="152"/>
      <c r="AI908" s="152"/>
      <c r="AJ908" s="152"/>
      <c r="AK908" s="152"/>
      <c r="AL908" s="152"/>
      <c r="AM908" s="152"/>
    </row>
    <row r="909">
      <c r="A909" s="152"/>
      <c r="B909" s="152"/>
      <c r="C909" s="152"/>
      <c r="D909" s="152"/>
      <c r="E909" s="152"/>
      <c r="F909" s="152"/>
      <c r="G909" s="152"/>
      <c r="H909" s="152"/>
      <c r="I909" s="152"/>
      <c r="J909" s="152"/>
      <c r="K909" s="152"/>
      <c r="L909" s="152"/>
      <c r="M909" s="152"/>
      <c r="N909" s="152"/>
      <c r="O909" s="152"/>
      <c r="P909" s="152"/>
      <c r="Q909" s="152"/>
      <c r="R909" s="152"/>
      <c r="S909" s="152"/>
      <c r="T909" s="152"/>
      <c r="U909" s="152"/>
      <c r="V909" s="152"/>
      <c r="W909" s="152"/>
      <c r="X909" s="152"/>
      <c r="Y909" s="152"/>
      <c r="Z909" s="152"/>
      <c r="AA909" s="152"/>
      <c r="AB909" s="152"/>
      <c r="AC909" s="152"/>
      <c r="AD909" s="152"/>
      <c r="AE909" s="152"/>
      <c r="AF909" s="152"/>
      <c r="AG909" s="152"/>
      <c r="AH909" s="152"/>
      <c r="AI909" s="152"/>
      <c r="AJ909" s="152"/>
      <c r="AK909" s="152"/>
      <c r="AL909" s="152"/>
      <c r="AM909" s="152"/>
    </row>
    <row r="910">
      <c r="A910" s="152"/>
      <c r="B910" s="152"/>
      <c r="C910" s="152"/>
      <c r="D910" s="152"/>
      <c r="E910" s="152"/>
      <c r="F910" s="152"/>
      <c r="G910" s="152"/>
      <c r="H910" s="152"/>
      <c r="I910" s="152"/>
      <c r="J910" s="152"/>
      <c r="K910" s="152"/>
      <c r="L910" s="152"/>
      <c r="M910" s="152"/>
      <c r="N910" s="152"/>
      <c r="O910" s="152"/>
      <c r="P910" s="152"/>
      <c r="Q910" s="152"/>
      <c r="R910" s="152"/>
      <c r="S910" s="152"/>
      <c r="T910" s="152"/>
      <c r="U910" s="152"/>
      <c r="V910" s="152"/>
      <c r="W910" s="152"/>
      <c r="X910" s="152"/>
      <c r="Y910" s="152"/>
      <c r="Z910" s="152"/>
      <c r="AA910" s="152"/>
      <c r="AB910" s="152"/>
      <c r="AC910" s="152"/>
      <c r="AD910" s="152"/>
      <c r="AE910" s="152"/>
      <c r="AF910" s="152"/>
      <c r="AG910" s="152"/>
      <c r="AH910" s="152"/>
      <c r="AI910" s="152"/>
      <c r="AJ910" s="152"/>
      <c r="AK910" s="152"/>
      <c r="AL910" s="152"/>
      <c r="AM910" s="152"/>
    </row>
    <row r="911">
      <c r="A911" s="152"/>
      <c r="B911" s="152"/>
      <c r="C911" s="152"/>
      <c r="D911" s="152"/>
      <c r="E911" s="152"/>
      <c r="F911" s="152"/>
      <c r="G911" s="152"/>
      <c r="H911" s="152"/>
      <c r="I911" s="152"/>
      <c r="J911" s="152"/>
      <c r="K911" s="152"/>
      <c r="L911" s="152"/>
      <c r="M911" s="152"/>
      <c r="N911" s="152"/>
      <c r="O911" s="152"/>
      <c r="P911" s="152"/>
      <c r="Q911" s="152"/>
      <c r="R911" s="152"/>
      <c r="S911" s="152"/>
      <c r="T911" s="152"/>
      <c r="U911" s="152"/>
      <c r="V911" s="152"/>
      <c r="W911" s="152"/>
      <c r="X911" s="152"/>
      <c r="Y911" s="152"/>
      <c r="Z911" s="152"/>
      <c r="AA911" s="152"/>
      <c r="AB911" s="152"/>
      <c r="AC911" s="152"/>
      <c r="AD911" s="152"/>
      <c r="AE911" s="152"/>
      <c r="AF911" s="152"/>
      <c r="AG911" s="152"/>
      <c r="AH911" s="152"/>
      <c r="AI911" s="152"/>
      <c r="AJ911" s="152"/>
      <c r="AK911" s="152"/>
      <c r="AL911" s="152"/>
      <c r="AM911" s="152"/>
    </row>
    <row r="912">
      <c r="A912" s="152"/>
      <c r="B912" s="152"/>
      <c r="C912" s="152"/>
      <c r="D912" s="152"/>
      <c r="E912" s="152"/>
      <c r="F912" s="152"/>
      <c r="G912" s="152"/>
      <c r="H912" s="152"/>
      <c r="I912" s="152"/>
      <c r="J912" s="152"/>
      <c r="K912" s="152"/>
      <c r="L912" s="152"/>
      <c r="M912" s="152"/>
      <c r="N912" s="152"/>
      <c r="O912" s="152"/>
      <c r="P912" s="152"/>
      <c r="Q912" s="152"/>
      <c r="R912" s="152"/>
      <c r="S912" s="152"/>
      <c r="T912" s="152"/>
      <c r="U912" s="152"/>
      <c r="V912" s="152"/>
      <c r="W912" s="152"/>
      <c r="X912" s="152"/>
      <c r="Y912" s="152"/>
      <c r="Z912" s="152"/>
      <c r="AA912" s="152"/>
      <c r="AB912" s="152"/>
      <c r="AC912" s="152"/>
      <c r="AD912" s="152"/>
      <c r="AE912" s="152"/>
      <c r="AF912" s="152"/>
      <c r="AG912" s="152"/>
      <c r="AH912" s="152"/>
      <c r="AI912" s="152"/>
      <c r="AJ912" s="152"/>
      <c r="AK912" s="152"/>
      <c r="AL912" s="152"/>
      <c r="AM912" s="152"/>
    </row>
    <row r="913">
      <c r="A913" s="152"/>
      <c r="B913" s="152"/>
      <c r="C913" s="152"/>
      <c r="D913" s="152"/>
      <c r="E913" s="152"/>
      <c r="F913" s="152"/>
      <c r="G913" s="152"/>
      <c r="H913" s="152"/>
      <c r="I913" s="152"/>
      <c r="J913" s="152"/>
      <c r="K913" s="152"/>
      <c r="L913" s="152"/>
      <c r="M913" s="152"/>
      <c r="N913" s="152"/>
      <c r="O913" s="152"/>
      <c r="P913" s="152"/>
      <c r="Q913" s="152"/>
      <c r="R913" s="152"/>
      <c r="S913" s="152"/>
      <c r="T913" s="152"/>
      <c r="U913" s="152"/>
      <c r="V913" s="152"/>
      <c r="W913" s="152"/>
      <c r="X913" s="152"/>
      <c r="Y913" s="152"/>
      <c r="Z913" s="152"/>
      <c r="AA913" s="152"/>
      <c r="AB913" s="152"/>
      <c r="AC913" s="152"/>
      <c r="AD913" s="152"/>
      <c r="AE913" s="152"/>
      <c r="AF913" s="152"/>
      <c r="AG913" s="152"/>
      <c r="AH913" s="152"/>
      <c r="AI913" s="152"/>
      <c r="AJ913" s="152"/>
      <c r="AK913" s="152"/>
      <c r="AL913" s="152"/>
      <c r="AM913" s="152"/>
    </row>
    <row r="914">
      <c r="A914" s="152"/>
      <c r="B914" s="152"/>
      <c r="C914" s="152"/>
      <c r="D914" s="152"/>
      <c r="E914" s="152"/>
      <c r="F914" s="152"/>
      <c r="G914" s="152"/>
      <c r="H914" s="152"/>
      <c r="I914" s="152"/>
      <c r="J914" s="152"/>
      <c r="K914" s="152"/>
      <c r="L914" s="152"/>
      <c r="M914" s="152"/>
      <c r="N914" s="152"/>
      <c r="O914" s="152"/>
      <c r="P914" s="152"/>
      <c r="Q914" s="152"/>
      <c r="R914" s="152"/>
      <c r="S914" s="152"/>
      <c r="T914" s="152"/>
      <c r="U914" s="152"/>
      <c r="V914" s="152"/>
      <c r="W914" s="152"/>
      <c r="X914" s="152"/>
      <c r="Y914" s="152"/>
      <c r="Z914" s="152"/>
      <c r="AA914" s="152"/>
      <c r="AB914" s="152"/>
      <c r="AC914" s="152"/>
      <c r="AD914" s="152"/>
      <c r="AE914" s="152"/>
      <c r="AF914" s="152"/>
      <c r="AG914" s="152"/>
      <c r="AH914" s="152"/>
      <c r="AI914" s="152"/>
      <c r="AJ914" s="152"/>
      <c r="AK914" s="152"/>
      <c r="AL914" s="152"/>
      <c r="AM914" s="152"/>
    </row>
    <row r="915">
      <c r="A915" s="152"/>
      <c r="B915" s="152"/>
      <c r="C915" s="152"/>
      <c r="D915" s="152"/>
      <c r="E915" s="152"/>
      <c r="F915" s="152"/>
      <c r="G915" s="152"/>
      <c r="H915" s="152"/>
      <c r="I915" s="152"/>
      <c r="J915" s="152"/>
      <c r="K915" s="152"/>
      <c r="L915" s="152"/>
      <c r="M915" s="152"/>
      <c r="N915" s="152"/>
      <c r="O915" s="152"/>
      <c r="P915" s="152"/>
      <c r="Q915" s="152"/>
      <c r="R915" s="152"/>
      <c r="S915" s="152"/>
      <c r="T915" s="152"/>
      <c r="U915" s="152"/>
      <c r="V915" s="152"/>
      <c r="W915" s="152"/>
      <c r="X915" s="152"/>
      <c r="Y915" s="152"/>
      <c r="Z915" s="152"/>
      <c r="AA915" s="152"/>
      <c r="AB915" s="152"/>
      <c r="AC915" s="152"/>
      <c r="AD915" s="152"/>
      <c r="AE915" s="152"/>
      <c r="AF915" s="152"/>
      <c r="AG915" s="152"/>
      <c r="AH915" s="152"/>
      <c r="AI915" s="152"/>
      <c r="AJ915" s="152"/>
      <c r="AK915" s="152"/>
      <c r="AL915" s="152"/>
      <c r="AM915" s="152"/>
    </row>
    <row r="916">
      <c r="A916" s="152"/>
      <c r="B916" s="152"/>
      <c r="C916" s="152"/>
      <c r="D916" s="152"/>
      <c r="E916" s="152"/>
      <c r="F916" s="152"/>
      <c r="G916" s="152"/>
      <c r="H916" s="152"/>
      <c r="I916" s="152"/>
      <c r="J916" s="152"/>
      <c r="K916" s="152"/>
      <c r="L916" s="152"/>
      <c r="M916" s="152"/>
      <c r="N916" s="152"/>
      <c r="O916" s="152"/>
      <c r="P916" s="152"/>
      <c r="Q916" s="152"/>
      <c r="R916" s="152"/>
      <c r="S916" s="152"/>
      <c r="T916" s="152"/>
      <c r="U916" s="152"/>
      <c r="V916" s="152"/>
      <c r="W916" s="152"/>
      <c r="X916" s="152"/>
      <c r="Y916" s="152"/>
      <c r="Z916" s="152"/>
      <c r="AA916" s="152"/>
      <c r="AB916" s="152"/>
      <c r="AC916" s="152"/>
      <c r="AD916" s="152"/>
      <c r="AE916" s="152"/>
      <c r="AF916" s="152"/>
      <c r="AG916" s="152"/>
      <c r="AH916" s="152"/>
      <c r="AI916" s="152"/>
      <c r="AJ916" s="152"/>
      <c r="AK916" s="152"/>
      <c r="AL916" s="152"/>
      <c r="AM916" s="152"/>
    </row>
    <row r="917">
      <c r="A917" s="152"/>
      <c r="B917" s="152"/>
      <c r="C917" s="152"/>
      <c r="D917" s="152"/>
      <c r="E917" s="152"/>
      <c r="F917" s="152"/>
      <c r="G917" s="152"/>
      <c r="H917" s="152"/>
      <c r="I917" s="152"/>
      <c r="J917" s="152"/>
      <c r="K917" s="152"/>
      <c r="L917" s="152"/>
      <c r="M917" s="152"/>
      <c r="N917" s="152"/>
      <c r="O917" s="152"/>
      <c r="P917" s="152"/>
      <c r="Q917" s="152"/>
      <c r="R917" s="152"/>
      <c r="S917" s="152"/>
      <c r="T917" s="152"/>
      <c r="U917" s="152"/>
      <c r="V917" s="152"/>
      <c r="W917" s="152"/>
      <c r="X917" s="152"/>
      <c r="Y917" s="152"/>
      <c r="Z917" s="152"/>
      <c r="AA917" s="152"/>
      <c r="AB917" s="152"/>
      <c r="AC917" s="152"/>
      <c r="AD917" s="152"/>
      <c r="AE917" s="152"/>
      <c r="AF917" s="152"/>
      <c r="AG917" s="152"/>
      <c r="AH917" s="152"/>
      <c r="AI917" s="152"/>
      <c r="AJ917" s="152"/>
      <c r="AK917" s="152"/>
      <c r="AL917" s="152"/>
      <c r="AM917" s="152"/>
    </row>
    <row r="918">
      <c r="A918" s="152"/>
      <c r="B918" s="152"/>
      <c r="C918" s="152"/>
      <c r="D918" s="152"/>
      <c r="E918" s="152"/>
      <c r="F918" s="152"/>
      <c r="G918" s="152"/>
      <c r="H918" s="152"/>
      <c r="I918" s="152"/>
      <c r="J918" s="152"/>
      <c r="K918" s="152"/>
      <c r="L918" s="152"/>
      <c r="M918" s="152"/>
      <c r="N918" s="152"/>
      <c r="O918" s="152"/>
      <c r="P918" s="152"/>
      <c r="Q918" s="152"/>
      <c r="R918" s="152"/>
      <c r="S918" s="152"/>
      <c r="T918" s="152"/>
      <c r="U918" s="152"/>
      <c r="V918" s="152"/>
      <c r="W918" s="152"/>
      <c r="X918" s="152"/>
      <c r="Y918" s="152"/>
      <c r="Z918" s="152"/>
      <c r="AA918" s="152"/>
      <c r="AB918" s="152"/>
      <c r="AC918" s="152"/>
      <c r="AD918" s="152"/>
      <c r="AE918" s="152"/>
      <c r="AF918" s="152"/>
      <c r="AG918" s="152"/>
      <c r="AH918" s="152"/>
      <c r="AI918" s="152"/>
      <c r="AJ918" s="152"/>
      <c r="AK918" s="152"/>
      <c r="AL918" s="152"/>
      <c r="AM918" s="152"/>
    </row>
    <row r="919">
      <c r="A919" s="152"/>
      <c r="B919" s="152"/>
      <c r="C919" s="152"/>
      <c r="D919" s="152"/>
      <c r="E919" s="152"/>
      <c r="F919" s="152"/>
      <c r="G919" s="152"/>
      <c r="H919" s="152"/>
      <c r="I919" s="152"/>
      <c r="J919" s="152"/>
      <c r="K919" s="152"/>
      <c r="L919" s="152"/>
      <c r="M919" s="152"/>
      <c r="N919" s="152"/>
      <c r="O919" s="152"/>
      <c r="P919" s="152"/>
      <c r="Q919" s="152"/>
      <c r="R919" s="152"/>
      <c r="S919" s="152"/>
      <c r="T919" s="152"/>
      <c r="U919" s="152"/>
      <c r="V919" s="152"/>
      <c r="W919" s="152"/>
      <c r="X919" s="152"/>
      <c r="Y919" s="152"/>
      <c r="Z919" s="152"/>
      <c r="AA919" s="152"/>
      <c r="AB919" s="152"/>
      <c r="AC919" s="152"/>
      <c r="AD919" s="152"/>
      <c r="AE919" s="152"/>
      <c r="AF919" s="152"/>
      <c r="AG919" s="152"/>
      <c r="AH919" s="152"/>
      <c r="AI919" s="152"/>
      <c r="AJ919" s="152"/>
      <c r="AK919" s="152"/>
      <c r="AL919" s="152"/>
      <c r="AM919" s="152"/>
    </row>
    <row r="920">
      <c r="A920" s="152"/>
      <c r="B920" s="152"/>
      <c r="C920" s="152"/>
      <c r="D920" s="152"/>
      <c r="E920" s="152"/>
      <c r="F920" s="152"/>
      <c r="G920" s="152"/>
      <c r="H920" s="152"/>
      <c r="I920" s="152"/>
      <c r="J920" s="152"/>
      <c r="K920" s="152"/>
      <c r="L920" s="152"/>
      <c r="M920" s="152"/>
      <c r="N920" s="152"/>
      <c r="O920" s="152"/>
      <c r="P920" s="152"/>
      <c r="Q920" s="152"/>
      <c r="R920" s="152"/>
      <c r="S920" s="152"/>
      <c r="T920" s="152"/>
      <c r="U920" s="152"/>
      <c r="V920" s="152"/>
      <c r="W920" s="152"/>
      <c r="X920" s="152"/>
      <c r="Y920" s="152"/>
      <c r="Z920" s="152"/>
      <c r="AA920" s="152"/>
      <c r="AB920" s="152"/>
      <c r="AC920" s="152"/>
      <c r="AD920" s="152"/>
      <c r="AE920" s="152"/>
      <c r="AF920" s="152"/>
      <c r="AG920" s="152"/>
      <c r="AH920" s="152"/>
      <c r="AI920" s="152"/>
      <c r="AJ920" s="152"/>
      <c r="AK920" s="152"/>
      <c r="AL920" s="152"/>
      <c r="AM920" s="152"/>
    </row>
    <row r="921">
      <c r="A921" s="152"/>
      <c r="B921" s="152"/>
      <c r="C921" s="152"/>
      <c r="D921" s="152"/>
      <c r="E921" s="152"/>
      <c r="F921" s="152"/>
      <c r="G921" s="152"/>
      <c r="H921" s="152"/>
      <c r="I921" s="152"/>
      <c r="J921" s="152"/>
      <c r="K921" s="152"/>
      <c r="L921" s="152"/>
      <c r="M921" s="152"/>
      <c r="N921" s="152"/>
      <c r="O921" s="152"/>
      <c r="P921" s="152"/>
      <c r="Q921" s="152"/>
      <c r="R921" s="152"/>
      <c r="S921" s="152"/>
      <c r="T921" s="152"/>
      <c r="U921" s="152"/>
      <c r="V921" s="152"/>
      <c r="W921" s="152"/>
      <c r="X921" s="152"/>
      <c r="Y921" s="152"/>
      <c r="Z921" s="152"/>
      <c r="AA921" s="152"/>
      <c r="AB921" s="152"/>
      <c r="AC921" s="152"/>
      <c r="AD921" s="152"/>
      <c r="AE921" s="152"/>
      <c r="AF921" s="152"/>
      <c r="AG921" s="152"/>
      <c r="AH921" s="152"/>
      <c r="AI921" s="152"/>
      <c r="AJ921" s="152"/>
      <c r="AK921" s="152"/>
      <c r="AL921" s="152"/>
      <c r="AM921" s="152"/>
    </row>
    <row r="922">
      <c r="A922" s="152"/>
      <c r="B922" s="152"/>
      <c r="C922" s="152"/>
      <c r="D922" s="152"/>
      <c r="E922" s="152"/>
      <c r="F922" s="152"/>
      <c r="G922" s="152"/>
      <c r="H922" s="152"/>
      <c r="I922" s="152"/>
      <c r="J922" s="152"/>
      <c r="K922" s="152"/>
      <c r="L922" s="152"/>
      <c r="M922" s="152"/>
      <c r="N922" s="152"/>
      <c r="O922" s="152"/>
      <c r="P922" s="152"/>
      <c r="Q922" s="152"/>
      <c r="R922" s="152"/>
      <c r="S922" s="152"/>
      <c r="T922" s="152"/>
      <c r="U922" s="152"/>
      <c r="V922" s="152"/>
      <c r="W922" s="152"/>
      <c r="X922" s="152"/>
      <c r="Y922" s="152"/>
      <c r="Z922" s="152"/>
      <c r="AA922" s="152"/>
      <c r="AB922" s="152"/>
      <c r="AC922" s="152"/>
      <c r="AD922" s="152"/>
      <c r="AE922" s="152"/>
      <c r="AF922" s="152"/>
      <c r="AG922" s="152"/>
      <c r="AH922" s="152"/>
      <c r="AI922" s="152"/>
      <c r="AJ922" s="152"/>
      <c r="AK922" s="152"/>
      <c r="AL922" s="152"/>
      <c r="AM922" s="152"/>
    </row>
    <row r="923">
      <c r="A923" s="152"/>
      <c r="B923" s="152"/>
      <c r="C923" s="152"/>
      <c r="D923" s="152"/>
      <c r="E923" s="152"/>
      <c r="F923" s="152"/>
      <c r="G923" s="152"/>
      <c r="H923" s="152"/>
      <c r="I923" s="152"/>
      <c r="J923" s="152"/>
      <c r="K923" s="152"/>
      <c r="L923" s="152"/>
      <c r="M923" s="152"/>
      <c r="N923" s="152"/>
      <c r="O923" s="152"/>
      <c r="P923" s="152"/>
      <c r="Q923" s="152"/>
      <c r="R923" s="152"/>
      <c r="S923" s="152"/>
      <c r="T923" s="152"/>
      <c r="U923" s="152"/>
      <c r="V923" s="152"/>
      <c r="W923" s="152"/>
      <c r="X923" s="152"/>
      <c r="Y923" s="152"/>
      <c r="Z923" s="152"/>
      <c r="AA923" s="152"/>
      <c r="AB923" s="152"/>
      <c r="AC923" s="152"/>
      <c r="AD923" s="152"/>
      <c r="AE923" s="152"/>
      <c r="AF923" s="152"/>
      <c r="AG923" s="152"/>
      <c r="AH923" s="152"/>
      <c r="AI923" s="152"/>
      <c r="AJ923" s="152"/>
      <c r="AK923" s="152"/>
      <c r="AL923" s="152"/>
      <c r="AM923" s="152"/>
    </row>
    <row r="924">
      <c r="A924" s="152"/>
      <c r="B924" s="152"/>
      <c r="C924" s="152"/>
      <c r="D924" s="152"/>
      <c r="E924" s="152"/>
      <c r="F924" s="152"/>
      <c r="G924" s="152"/>
      <c r="H924" s="152"/>
      <c r="I924" s="152"/>
      <c r="J924" s="152"/>
      <c r="K924" s="152"/>
      <c r="L924" s="152"/>
      <c r="M924" s="152"/>
      <c r="N924" s="152"/>
      <c r="O924" s="152"/>
      <c r="P924" s="152"/>
      <c r="Q924" s="152"/>
      <c r="R924" s="152"/>
      <c r="S924" s="152"/>
      <c r="T924" s="152"/>
      <c r="U924" s="152"/>
      <c r="V924" s="152"/>
      <c r="W924" s="152"/>
      <c r="X924" s="152"/>
      <c r="Y924" s="152"/>
      <c r="Z924" s="152"/>
      <c r="AA924" s="152"/>
      <c r="AB924" s="152"/>
      <c r="AC924" s="152"/>
      <c r="AD924" s="152"/>
      <c r="AE924" s="152"/>
      <c r="AF924" s="152"/>
      <c r="AG924" s="152"/>
      <c r="AH924" s="152"/>
      <c r="AI924" s="152"/>
      <c r="AJ924" s="152"/>
      <c r="AK924" s="152"/>
      <c r="AL924" s="152"/>
      <c r="AM924" s="152"/>
    </row>
    <row r="925">
      <c r="A925" s="152"/>
      <c r="B925" s="152"/>
      <c r="C925" s="152"/>
      <c r="D925" s="152"/>
      <c r="E925" s="152"/>
      <c r="F925" s="152"/>
      <c r="G925" s="152"/>
      <c r="H925" s="152"/>
      <c r="I925" s="152"/>
      <c r="J925" s="152"/>
      <c r="K925" s="152"/>
      <c r="L925" s="152"/>
      <c r="M925" s="152"/>
      <c r="N925" s="152"/>
      <c r="O925" s="152"/>
      <c r="P925" s="152"/>
      <c r="Q925" s="152"/>
      <c r="R925" s="152"/>
      <c r="S925" s="152"/>
      <c r="T925" s="152"/>
      <c r="U925" s="152"/>
      <c r="V925" s="152"/>
      <c r="W925" s="152"/>
      <c r="X925" s="152"/>
      <c r="Y925" s="152"/>
      <c r="Z925" s="152"/>
      <c r="AA925" s="152"/>
      <c r="AB925" s="152"/>
      <c r="AC925" s="152"/>
      <c r="AD925" s="152"/>
      <c r="AE925" s="152"/>
      <c r="AF925" s="152"/>
      <c r="AG925" s="152"/>
      <c r="AH925" s="152"/>
      <c r="AI925" s="152"/>
      <c r="AJ925" s="152"/>
      <c r="AK925" s="152"/>
      <c r="AL925" s="152"/>
      <c r="AM925" s="152"/>
    </row>
    <row r="926">
      <c r="A926" s="152"/>
      <c r="B926" s="152"/>
      <c r="C926" s="152"/>
      <c r="D926" s="152"/>
      <c r="E926" s="152"/>
      <c r="F926" s="152"/>
      <c r="G926" s="152"/>
      <c r="H926" s="152"/>
      <c r="I926" s="152"/>
      <c r="J926" s="152"/>
      <c r="K926" s="152"/>
      <c r="L926" s="152"/>
      <c r="M926" s="152"/>
      <c r="N926" s="152"/>
      <c r="O926" s="152"/>
      <c r="P926" s="152"/>
      <c r="Q926" s="152"/>
      <c r="R926" s="152"/>
      <c r="S926" s="152"/>
      <c r="T926" s="152"/>
      <c r="U926" s="152"/>
      <c r="V926" s="152"/>
      <c r="W926" s="152"/>
      <c r="X926" s="152"/>
      <c r="Y926" s="152"/>
      <c r="Z926" s="152"/>
      <c r="AA926" s="152"/>
      <c r="AB926" s="152"/>
      <c r="AC926" s="152"/>
      <c r="AD926" s="152"/>
      <c r="AE926" s="152"/>
      <c r="AF926" s="152"/>
      <c r="AG926" s="152"/>
      <c r="AH926" s="152"/>
      <c r="AI926" s="152"/>
      <c r="AJ926" s="152"/>
      <c r="AK926" s="152"/>
      <c r="AL926" s="152"/>
      <c r="AM926" s="152"/>
    </row>
    <row r="927">
      <c r="A927" s="152"/>
      <c r="B927" s="152"/>
      <c r="C927" s="152"/>
      <c r="D927" s="152"/>
      <c r="E927" s="152"/>
      <c r="F927" s="152"/>
      <c r="G927" s="152"/>
      <c r="H927" s="152"/>
      <c r="I927" s="152"/>
      <c r="J927" s="152"/>
      <c r="K927" s="152"/>
      <c r="L927" s="152"/>
      <c r="M927" s="152"/>
      <c r="N927" s="152"/>
      <c r="O927" s="152"/>
      <c r="P927" s="152"/>
      <c r="Q927" s="152"/>
      <c r="R927" s="152"/>
      <c r="S927" s="152"/>
      <c r="T927" s="152"/>
      <c r="U927" s="152"/>
      <c r="V927" s="152"/>
      <c r="W927" s="152"/>
      <c r="X927" s="152"/>
      <c r="Y927" s="152"/>
      <c r="Z927" s="152"/>
      <c r="AA927" s="152"/>
      <c r="AB927" s="152"/>
      <c r="AC927" s="152"/>
      <c r="AD927" s="152"/>
      <c r="AE927" s="152"/>
      <c r="AF927" s="152"/>
      <c r="AG927" s="152"/>
      <c r="AH927" s="152"/>
      <c r="AI927" s="152"/>
      <c r="AJ927" s="152"/>
      <c r="AK927" s="152"/>
      <c r="AL927" s="152"/>
      <c r="AM927" s="152"/>
    </row>
    <row r="928">
      <c r="A928" s="152"/>
      <c r="B928" s="152"/>
      <c r="C928" s="152"/>
      <c r="D928" s="152"/>
      <c r="E928" s="152"/>
      <c r="F928" s="152"/>
      <c r="G928" s="152"/>
      <c r="H928" s="152"/>
      <c r="I928" s="152"/>
      <c r="J928" s="152"/>
      <c r="K928" s="152"/>
      <c r="L928" s="152"/>
      <c r="M928" s="152"/>
      <c r="N928" s="152"/>
      <c r="O928" s="152"/>
      <c r="P928" s="152"/>
      <c r="Q928" s="152"/>
      <c r="R928" s="152"/>
      <c r="S928" s="152"/>
      <c r="T928" s="152"/>
      <c r="U928" s="152"/>
      <c r="V928" s="152"/>
      <c r="W928" s="152"/>
      <c r="X928" s="152"/>
      <c r="Y928" s="152"/>
      <c r="Z928" s="152"/>
      <c r="AA928" s="152"/>
      <c r="AB928" s="152"/>
      <c r="AC928" s="152"/>
      <c r="AD928" s="152"/>
      <c r="AE928" s="152"/>
      <c r="AF928" s="152"/>
      <c r="AG928" s="152"/>
      <c r="AH928" s="152"/>
      <c r="AI928" s="152"/>
      <c r="AJ928" s="152"/>
      <c r="AK928" s="152"/>
      <c r="AL928" s="152"/>
      <c r="AM928" s="152"/>
    </row>
    <row r="929">
      <c r="A929" s="152"/>
      <c r="B929" s="152"/>
      <c r="C929" s="152"/>
      <c r="D929" s="152"/>
      <c r="E929" s="152"/>
      <c r="F929" s="152"/>
      <c r="G929" s="152"/>
      <c r="H929" s="152"/>
      <c r="I929" s="152"/>
      <c r="J929" s="152"/>
      <c r="K929" s="152"/>
      <c r="L929" s="152"/>
      <c r="M929" s="152"/>
      <c r="N929" s="152"/>
      <c r="O929" s="152"/>
      <c r="P929" s="152"/>
      <c r="Q929" s="152"/>
      <c r="R929" s="152"/>
      <c r="S929" s="152"/>
      <c r="T929" s="152"/>
      <c r="U929" s="152"/>
      <c r="V929" s="152"/>
      <c r="W929" s="152"/>
      <c r="X929" s="152"/>
      <c r="Y929" s="152"/>
      <c r="Z929" s="152"/>
      <c r="AA929" s="152"/>
      <c r="AB929" s="152"/>
      <c r="AC929" s="152"/>
      <c r="AD929" s="152"/>
      <c r="AE929" s="152"/>
      <c r="AF929" s="152"/>
      <c r="AG929" s="152"/>
      <c r="AH929" s="152"/>
      <c r="AI929" s="152"/>
      <c r="AJ929" s="152"/>
      <c r="AK929" s="152"/>
      <c r="AL929" s="152"/>
      <c r="AM929" s="152"/>
    </row>
    <row r="930">
      <c r="A930" s="152"/>
      <c r="B930" s="152"/>
      <c r="C930" s="152"/>
      <c r="D930" s="152"/>
      <c r="E930" s="152"/>
      <c r="F930" s="152"/>
      <c r="G930" s="152"/>
      <c r="H930" s="152"/>
      <c r="I930" s="152"/>
      <c r="J930" s="152"/>
      <c r="K930" s="152"/>
      <c r="L930" s="152"/>
      <c r="M930" s="152"/>
      <c r="N930" s="152"/>
      <c r="O930" s="152"/>
      <c r="P930" s="152"/>
      <c r="Q930" s="152"/>
      <c r="R930" s="152"/>
      <c r="S930" s="152"/>
      <c r="T930" s="152"/>
      <c r="U930" s="152"/>
      <c r="V930" s="152"/>
      <c r="W930" s="152"/>
      <c r="X930" s="152"/>
      <c r="Y930" s="152"/>
      <c r="Z930" s="152"/>
      <c r="AA930" s="152"/>
      <c r="AB930" s="152"/>
      <c r="AC930" s="152"/>
      <c r="AD930" s="152"/>
      <c r="AE930" s="152"/>
      <c r="AF930" s="152"/>
      <c r="AG930" s="152"/>
      <c r="AH930" s="152"/>
      <c r="AI930" s="152"/>
      <c r="AJ930" s="152"/>
      <c r="AK930" s="152"/>
      <c r="AL930" s="152"/>
      <c r="AM930" s="152"/>
    </row>
    <row r="931">
      <c r="A931" s="152"/>
      <c r="B931" s="152"/>
      <c r="C931" s="152"/>
      <c r="D931" s="152"/>
      <c r="E931" s="152"/>
      <c r="F931" s="152"/>
      <c r="G931" s="152"/>
      <c r="H931" s="152"/>
      <c r="I931" s="152"/>
      <c r="J931" s="152"/>
      <c r="K931" s="152"/>
      <c r="L931" s="152"/>
      <c r="M931" s="152"/>
      <c r="N931" s="152"/>
      <c r="O931" s="152"/>
      <c r="P931" s="152"/>
      <c r="Q931" s="152"/>
      <c r="R931" s="152"/>
      <c r="S931" s="152"/>
      <c r="T931" s="152"/>
      <c r="U931" s="152"/>
      <c r="V931" s="152"/>
      <c r="W931" s="152"/>
      <c r="X931" s="152"/>
      <c r="Y931" s="152"/>
      <c r="Z931" s="152"/>
      <c r="AA931" s="152"/>
      <c r="AB931" s="152"/>
      <c r="AC931" s="152"/>
      <c r="AD931" s="152"/>
      <c r="AE931" s="152"/>
      <c r="AF931" s="152"/>
      <c r="AG931" s="152"/>
      <c r="AH931" s="152"/>
      <c r="AI931" s="152"/>
      <c r="AJ931" s="152"/>
      <c r="AK931" s="152"/>
      <c r="AL931" s="152"/>
      <c r="AM931" s="152"/>
    </row>
    <row r="932">
      <c r="A932" s="152"/>
      <c r="B932" s="152"/>
      <c r="C932" s="152"/>
      <c r="D932" s="152"/>
      <c r="E932" s="152"/>
      <c r="F932" s="152"/>
      <c r="G932" s="152"/>
      <c r="H932" s="152"/>
      <c r="I932" s="152"/>
      <c r="J932" s="152"/>
      <c r="K932" s="152"/>
      <c r="L932" s="152"/>
      <c r="M932" s="152"/>
      <c r="N932" s="152"/>
      <c r="O932" s="152"/>
      <c r="P932" s="152"/>
      <c r="Q932" s="152"/>
      <c r="R932" s="152"/>
      <c r="S932" s="152"/>
      <c r="T932" s="152"/>
      <c r="U932" s="152"/>
      <c r="V932" s="152"/>
      <c r="W932" s="152"/>
      <c r="X932" s="152"/>
      <c r="Y932" s="152"/>
      <c r="Z932" s="152"/>
      <c r="AA932" s="152"/>
      <c r="AB932" s="152"/>
      <c r="AC932" s="152"/>
      <c r="AD932" s="152"/>
      <c r="AE932" s="152"/>
      <c r="AF932" s="152"/>
      <c r="AG932" s="152"/>
      <c r="AH932" s="152"/>
      <c r="AI932" s="152"/>
      <c r="AJ932" s="152"/>
      <c r="AK932" s="152"/>
      <c r="AL932" s="152"/>
      <c r="AM932" s="152"/>
    </row>
    <row r="933">
      <c r="A933" s="152"/>
      <c r="B933" s="152"/>
      <c r="C933" s="152"/>
      <c r="D933" s="152"/>
      <c r="E933" s="152"/>
      <c r="F933" s="152"/>
      <c r="G933" s="152"/>
      <c r="H933" s="152"/>
      <c r="I933" s="152"/>
      <c r="J933" s="152"/>
      <c r="K933" s="152"/>
      <c r="L933" s="152"/>
      <c r="M933" s="152"/>
      <c r="N933" s="152"/>
      <c r="O933" s="152"/>
      <c r="P933" s="152"/>
      <c r="Q933" s="152"/>
      <c r="R933" s="152"/>
      <c r="S933" s="152"/>
      <c r="T933" s="152"/>
      <c r="U933" s="152"/>
      <c r="V933" s="152"/>
      <c r="W933" s="152"/>
      <c r="X933" s="152"/>
      <c r="Y933" s="152"/>
      <c r="Z933" s="152"/>
      <c r="AA933" s="152"/>
      <c r="AB933" s="152"/>
      <c r="AC933" s="152"/>
      <c r="AD933" s="152"/>
      <c r="AE933" s="152"/>
      <c r="AF933" s="152"/>
      <c r="AG933" s="152"/>
      <c r="AH933" s="152"/>
      <c r="AI933" s="152"/>
      <c r="AJ933" s="152"/>
      <c r="AK933" s="152"/>
      <c r="AL933" s="152"/>
      <c r="AM933" s="152"/>
    </row>
    <row r="934">
      <c r="A934" s="152"/>
      <c r="B934" s="152"/>
      <c r="C934" s="152"/>
      <c r="D934" s="152"/>
      <c r="E934" s="152"/>
      <c r="F934" s="152"/>
      <c r="G934" s="152"/>
      <c r="H934" s="152"/>
      <c r="I934" s="152"/>
      <c r="J934" s="152"/>
      <c r="K934" s="152"/>
      <c r="L934" s="152"/>
      <c r="M934" s="152"/>
      <c r="N934" s="152"/>
      <c r="O934" s="152"/>
      <c r="P934" s="152"/>
      <c r="Q934" s="152"/>
      <c r="R934" s="152"/>
      <c r="S934" s="152"/>
      <c r="T934" s="152"/>
      <c r="U934" s="152"/>
      <c r="V934" s="152"/>
      <c r="W934" s="152"/>
      <c r="X934" s="152"/>
      <c r="Y934" s="152"/>
      <c r="Z934" s="152"/>
      <c r="AA934" s="152"/>
      <c r="AB934" s="152"/>
      <c r="AC934" s="152"/>
      <c r="AD934" s="152"/>
      <c r="AE934" s="152"/>
      <c r="AF934" s="152"/>
      <c r="AG934" s="152"/>
      <c r="AH934" s="152"/>
      <c r="AI934" s="152"/>
      <c r="AJ934" s="152"/>
      <c r="AK934" s="152"/>
      <c r="AL934" s="152"/>
      <c r="AM934" s="152"/>
    </row>
    <row r="935">
      <c r="A935" s="152"/>
      <c r="B935" s="152"/>
      <c r="C935" s="152"/>
      <c r="D935" s="152"/>
      <c r="E935" s="152"/>
      <c r="F935" s="152"/>
      <c r="G935" s="152"/>
      <c r="H935" s="152"/>
      <c r="I935" s="152"/>
      <c r="J935" s="152"/>
      <c r="K935" s="152"/>
      <c r="L935" s="152"/>
      <c r="M935" s="152"/>
      <c r="N935" s="152"/>
      <c r="O935" s="152"/>
      <c r="P935" s="152"/>
      <c r="Q935" s="152"/>
      <c r="R935" s="152"/>
      <c r="S935" s="152"/>
      <c r="T935" s="152"/>
      <c r="U935" s="152"/>
      <c r="V935" s="152"/>
      <c r="W935" s="152"/>
      <c r="X935" s="152"/>
      <c r="Y935" s="152"/>
      <c r="Z935" s="152"/>
      <c r="AA935" s="152"/>
      <c r="AB935" s="152"/>
      <c r="AC935" s="152"/>
      <c r="AD935" s="152"/>
      <c r="AE935" s="152"/>
      <c r="AF935" s="152"/>
      <c r="AG935" s="152"/>
      <c r="AH935" s="152"/>
      <c r="AI935" s="152"/>
      <c r="AJ935" s="152"/>
      <c r="AK935" s="152"/>
      <c r="AL935" s="152"/>
      <c r="AM935" s="152"/>
    </row>
    <row r="936">
      <c r="A936" s="152"/>
      <c r="B936" s="152"/>
      <c r="C936" s="152"/>
      <c r="D936" s="152"/>
      <c r="E936" s="152"/>
      <c r="F936" s="152"/>
      <c r="G936" s="152"/>
      <c r="H936" s="152"/>
      <c r="I936" s="152"/>
      <c r="J936" s="152"/>
      <c r="K936" s="152"/>
      <c r="L936" s="152"/>
      <c r="M936" s="152"/>
      <c r="N936" s="152"/>
      <c r="O936" s="152"/>
      <c r="P936" s="152"/>
      <c r="Q936" s="152"/>
      <c r="R936" s="152"/>
      <c r="S936" s="152"/>
      <c r="T936" s="152"/>
      <c r="U936" s="152"/>
      <c r="V936" s="152"/>
      <c r="W936" s="152"/>
      <c r="X936" s="152"/>
      <c r="Y936" s="152"/>
      <c r="Z936" s="152"/>
      <c r="AA936" s="152"/>
      <c r="AB936" s="152"/>
      <c r="AC936" s="152"/>
      <c r="AD936" s="152"/>
      <c r="AE936" s="152"/>
      <c r="AF936" s="152"/>
      <c r="AG936" s="152"/>
      <c r="AH936" s="152"/>
      <c r="AI936" s="152"/>
      <c r="AJ936" s="152"/>
      <c r="AK936" s="152"/>
      <c r="AL936" s="152"/>
      <c r="AM936" s="152"/>
    </row>
    <row r="937">
      <c r="A937" s="152"/>
      <c r="B937" s="152"/>
      <c r="C937" s="152"/>
      <c r="D937" s="152"/>
      <c r="E937" s="152"/>
      <c r="F937" s="152"/>
      <c r="G937" s="152"/>
      <c r="H937" s="152"/>
      <c r="I937" s="152"/>
      <c r="J937" s="152"/>
      <c r="K937" s="152"/>
      <c r="L937" s="152"/>
      <c r="M937" s="152"/>
      <c r="N937" s="152"/>
      <c r="O937" s="152"/>
      <c r="P937" s="152"/>
      <c r="Q937" s="152"/>
      <c r="R937" s="152"/>
      <c r="S937" s="152"/>
      <c r="T937" s="152"/>
      <c r="U937" s="152"/>
      <c r="V937" s="152"/>
      <c r="W937" s="152"/>
      <c r="X937" s="152"/>
      <c r="Y937" s="152"/>
      <c r="Z937" s="152"/>
      <c r="AA937" s="152"/>
      <c r="AB937" s="152"/>
      <c r="AC937" s="152"/>
      <c r="AD937" s="152"/>
      <c r="AE937" s="152"/>
      <c r="AF937" s="152"/>
      <c r="AG937" s="152"/>
      <c r="AH937" s="152"/>
      <c r="AI937" s="152"/>
      <c r="AJ937" s="152"/>
      <c r="AK937" s="152"/>
      <c r="AL937" s="152"/>
      <c r="AM937" s="152"/>
    </row>
    <row r="938">
      <c r="A938" s="152"/>
      <c r="B938" s="152"/>
      <c r="C938" s="152"/>
      <c r="D938" s="152"/>
      <c r="E938" s="152"/>
      <c r="F938" s="152"/>
      <c r="G938" s="152"/>
      <c r="H938" s="152"/>
      <c r="I938" s="152"/>
      <c r="J938" s="152"/>
      <c r="K938" s="152"/>
      <c r="L938" s="152"/>
      <c r="M938" s="152"/>
      <c r="N938" s="152"/>
      <c r="O938" s="152"/>
      <c r="P938" s="152"/>
      <c r="Q938" s="152"/>
      <c r="R938" s="152"/>
      <c r="S938" s="152"/>
      <c r="T938" s="152"/>
      <c r="U938" s="152"/>
      <c r="V938" s="152"/>
      <c r="W938" s="152"/>
      <c r="X938" s="152"/>
      <c r="Y938" s="152"/>
      <c r="Z938" s="152"/>
      <c r="AA938" s="152"/>
      <c r="AB938" s="152"/>
      <c r="AC938" s="152"/>
      <c r="AD938" s="152"/>
      <c r="AE938" s="152"/>
      <c r="AF938" s="152"/>
      <c r="AG938" s="152"/>
      <c r="AH938" s="152"/>
      <c r="AI938" s="152"/>
      <c r="AJ938" s="152"/>
      <c r="AK938" s="152"/>
      <c r="AL938" s="152"/>
      <c r="AM938" s="152"/>
    </row>
    <row r="939">
      <c r="A939" s="152"/>
      <c r="B939" s="152"/>
      <c r="C939" s="152"/>
      <c r="D939" s="152"/>
      <c r="E939" s="152"/>
      <c r="F939" s="152"/>
      <c r="G939" s="152"/>
      <c r="H939" s="152"/>
      <c r="I939" s="152"/>
      <c r="J939" s="152"/>
      <c r="K939" s="152"/>
      <c r="L939" s="152"/>
      <c r="M939" s="152"/>
      <c r="N939" s="152"/>
      <c r="O939" s="152"/>
      <c r="P939" s="152"/>
      <c r="Q939" s="152"/>
      <c r="R939" s="152"/>
      <c r="S939" s="152"/>
      <c r="T939" s="152"/>
      <c r="U939" s="152"/>
      <c r="V939" s="152"/>
      <c r="W939" s="152"/>
      <c r="X939" s="152"/>
      <c r="Y939" s="152"/>
      <c r="Z939" s="152"/>
      <c r="AA939" s="152"/>
      <c r="AB939" s="152"/>
      <c r="AC939" s="152"/>
      <c r="AD939" s="152"/>
      <c r="AE939" s="152"/>
      <c r="AF939" s="152"/>
      <c r="AG939" s="152"/>
      <c r="AH939" s="152"/>
      <c r="AI939" s="152"/>
      <c r="AJ939" s="152"/>
      <c r="AK939" s="152"/>
      <c r="AL939" s="152"/>
      <c r="AM939" s="152"/>
    </row>
    <row r="940">
      <c r="A940" s="152"/>
      <c r="B940" s="152"/>
      <c r="C940" s="152"/>
      <c r="D940" s="152"/>
      <c r="E940" s="152"/>
      <c r="F940" s="152"/>
      <c r="G940" s="152"/>
      <c r="H940" s="152"/>
      <c r="I940" s="152"/>
      <c r="J940" s="152"/>
      <c r="K940" s="152"/>
      <c r="L940" s="152"/>
      <c r="M940" s="152"/>
      <c r="N940" s="152"/>
      <c r="O940" s="152"/>
      <c r="P940" s="152"/>
      <c r="Q940" s="152"/>
      <c r="R940" s="152"/>
      <c r="S940" s="152"/>
      <c r="T940" s="152"/>
      <c r="U940" s="152"/>
      <c r="V940" s="152"/>
      <c r="W940" s="152"/>
      <c r="X940" s="152"/>
      <c r="Y940" s="152"/>
      <c r="Z940" s="152"/>
      <c r="AA940" s="152"/>
      <c r="AB940" s="152"/>
      <c r="AC940" s="152"/>
      <c r="AD940" s="152"/>
      <c r="AE940" s="152"/>
      <c r="AF940" s="152"/>
      <c r="AG940" s="152"/>
      <c r="AH940" s="152"/>
      <c r="AI940" s="152"/>
      <c r="AJ940" s="152"/>
      <c r="AK940" s="152"/>
      <c r="AL940" s="152"/>
      <c r="AM940" s="152"/>
    </row>
    <row r="941">
      <c r="A941" s="152"/>
      <c r="B941" s="152"/>
      <c r="C941" s="152"/>
      <c r="D941" s="152"/>
      <c r="E941" s="152"/>
      <c r="F941" s="152"/>
      <c r="G941" s="152"/>
      <c r="H941" s="152"/>
      <c r="I941" s="152"/>
      <c r="J941" s="152"/>
      <c r="K941" s="152"/>
      <c r="L941" s="152"/>
      <c r="M941" s="152"/>
      <c r="N941" s="152"/>
      <c r="O941" s="152"/>
      <c r="P941" s="152"/>
      <c r="Q941" s="152"/>
      <c r="R941" s="152"/>
      <c r="S941" s="152"/>
      <c r="T941" s="152"/>
      <c r="U941" s="152"/>
      <c r="V941" s="152"/>
      <c r="W941" s="152"/>
      <c r="X941" s="152"/>
      <c r="Y941" s="152"/>
      <c r="Z941" s="152"/>
      <c r="AA941" s="152"/>
      <c r="AB941" s="152"/>
      <c r="AC941" s="152"/>
      <c r="AD941" s="152"/>
      <c r="AE941" s="152"/>
      <c r="AF941" s="152"/>
      <c r="AG941" s="152"/>
      <c r="AH941" s="152"/>
      <c r="AI941" s="152"/>
      <c r="AJ941" s="152"/>
      <c r="AK941" s="152"/>
      <c r="AL941" s="152"/>
      <c r="AM941" s="152"/>
    </row>
    <row r="942">
      <c r="A942" s="152"/>
      <c r="B942" s="152"/>
      <c r="C942" s="152"/>
      <c r="D942" s="152"/>
      <c r="E942" s="152"/>
      <c r="F942" s="152"/>
      <c r="G942" s="152"/>
      <c r="H942" s="152"/>
      <c r="I942" s="152"/>
      <c r="J942" s="152"/>
      <c r="K942" s="152"/>
      <c r="L942" s="152"/>
      <c r="M942" s="152"/>
      <c r="N942" s="152"/>
      <c r="O942" s="152"/>
      <c r="P942" s="152"/>
      <c r="Q942" s="152"/>
      <c r="R942" s="152"/>
      <c r="S942" s="152"/>
      <c r="T942" s="152"/>
      <c r="U942" s="152"/>
      <c r="V942" s="152"/>
      <c r="W942" s="152"/>
      <c r="X942" s="152"/>
      <c r="Y942" s="152"/>
      <c r="Z942" s="152"/>
      <c r="AA942" s="152"/>
      <c r="AB942" s="152"/>
      <c r="AC942" s="152"/>
      <c r="AD942" s="152"/>
      <c r="AE942" s="152"/>
      <c r="AF942" s="152"/>
      <c r="AG942" s="152"/>
      <c r="AH942" s="152"/>
      <c r="AI942" s="152"/>
      <c r="AJ942" s="152"/>
      <c r="AK942" s="152"/>
      <c r="AL942" s="152"/>
      <c r="AM942" s="152"/>
    </row>
    <row r="943">
      <c r="A943" s="152"/>
      <c r="B943" s="152"/>
      <c r="C943" s="152"/>
      <c r="D943" s="152"/>
      <c r="E943" s="152"/>
      <c r="F943" s="152"/>
      <c r="G943" s="152"/>
      <c r="H943" s="152"/>
      <c r="I943" s="152"/>
      <c r="J943" s="152"/>
      <c r="K943" s="152"/>
      <c r="L943" s="152"/>
      <c r="M943" s="152"/>
      <c r="N943" s="152"/>
      <c r="O943" s="152"/>
      <c r="P943" s="152"/>
      <c r="Q943" s="152"/>
      <c r="R943" s="152"/>
      <c r="S943" s="152"/>
      <c r="T943" s="152"/>
      <c r="U943" s="152"/>
      <c r="V943" s="152"/>
      <c r="W943" s="152"/>
      <c r="X943" s="152"/>
      <c r="Y943" s="152"/>
      <c r="Z943" s="152"/>
      <c r="AA943" s="152"/>
      <c r="AB943" s="152"/>
      <c r="AC943" s="152"/>
      <c r="AD943" s="152"/>
      <c r="AE943" s="152"/>
      <c r="AF943" s="152"/>
      <c r="AG943" s="152"/>
      <c r="AH943" s="152"/>
      <c r="AI943" s="152"/>
      <c r="AJ943" s="152"/>
      <c r="AK943" s="152"/>
      <c r="AL943" s="152"/>
      <c r="AM943" s="152"/>
    </row>
    <row r="944">
      <c r="A944" s="152"/>
      <c r="B944" s="152"/>
      <c r="C944" s="152"/>
      <c r="D944" s="152"/>
      <c r="E944" s="152"/>
      <c r="F944" s="152"/>
      <c r="G944" s="152"/>
      <c r="H944" s="152"/>
      <c r="I944" s="152"/>
      <c r="J944" s="152"/>
      <c r="K944" s="152"/>
      <c r="L944" s="152"/>
      <c r="M944" s="152"/>
      <c r="N944" s="152"/>
      <c r="O944" s="152"/>
      <c r="P944" s="152"/>
      <c r="Q944" s="152"/>
      <c r="R944" s="152"/>
      <c r="S944" s="152"/>
      <c r="T944" s="152"/>
      <c r="U944" s="152"/>
      <c r="V944" s="152"/>
      <c r="W944" s="152"/>
      <c r="X944" s="152"/>
      <c r="Y944" s="152"/>
      <c r="Z944" s="152"/>
      <c r="AA944" s="152"/>
      <c r="AB944" s="152"/>
      <c r="AC944" s="152"/>
      <c r="AD944" s="152"/>
      <c r="AE944" s="152"/>
      <c r="AF944" s="152"/>
      <c r="AG944" s="152"/>
      <c r="AH944" s="152"/>
      <c r="AI944" s="152"/>
      <c r="AJ944" s="152"/>
      <c r="AK944" s="152"/>
      <c r="AL944" s="152"/>
      <c r="AM944" s="152"/>
    </row>
    <row r="945">
      <c r="A945" s="152"/>
      <c r="B945" s="152"/>
      <c r="C945" s="152"/>
      <c r="D945" s="152"/>
      <c r="E945" s="152"/>
      <c r="F945" s="152"/>
      <c r="G945" s="152"/>
      <c r="H945" s="152"/>
      <c r="I945" s="152"/>
      <c r="J945" s="152"/>
      <c r="K945" s="152"/>
      <c r="L945" s="152"/>
      <c r="M945" s="152"/>
      <c r="N945" s="152"/>
      <c r="O945" s="152"/>
      <c r="P945" s="152"/>
      <c r="Q945" s="152"/>
      <c r="R945" s="152"/>
      <c r="S945" s="152"/>
      <c r="T945" s="152"/>
      <c r="U945" s="152"/>
      <c r="V945" s="152"/>
      <c r="W945" s="152"/>
      <c r="X945" s="152"/>
      <c r="Y945" s="152"/>
      <c r="Z945" s="152"/>
      <c r="AA945" s="152"/>
      <c r="AB945" s="152"/>
      <c r="AC945" s="152"/>
      <c r="AD945" s="152"/>
      <c r="AE945" s="152"/>
      <c r="AF945" s="152"/>
      <c r="AG945" s="152"/>
      <c r="AH945" s="152"/>
      <c r="AI945" s="152"/>
      <c r="AJ945" s="152"/>
      <c r="AK945" s="152"/>
      <c r="AL945" s="152"/>
      <c r="AM945" s="152"/>
    </row>
    <row r="946">
      <c r="A946" s="152"/>
      <c r="B946" s="152"/>
      <c r="C946" s="152"/>
      <c r="D946" s="152"/>
      <c r="E946" s="152"/>
      <c r="F946" s="152"/>
      <c r="G946" s="152"/>
      <c r="H946" s="152"/>
      <c r="I946" s="152"/>
      <c r="J946" s="152"/>
      <c r="K946" s="152"/>
      <c r="L946" s="152"/>
      <c r="M946" s="152"/>
      <c r="N946" s="152"/>
      <c r="O946" s="152"/>
      <c r="P946" s="152"/>
      <c r="Q946" s="152"/>
      <c r="R946" s="152"/>
      <c r="S946" s="152"/>
      <c r="T946" s="152"/>
      <c r="U946" s="152"/>
      <c r="V946" s="152"/>
      <c r="W946" s="152"/>
      <c r="X946" s="152"/>
      <c r="Y946" s="152"/>
      <c r="Z946" s="152"/>
      <c r="AA946" s="152"/>
      <c r="AB946" s="152"/>
      <c r="AC946" s="152"/>
      <c r="AD946" s="152"/>
      <c r="AE946" s="152"/>
      <c r="AF946" s="152"/>
      <c r="AG946" s="152"/>
      <c r="AH946" s="152"/>
      <c r="AI946" s="152"/>
      <c r="AJ946" s="152"/>
      <c r="AK946" s="152"/>
      <c r="AL946" s="152"/>
      <c r="AM946" s="152"/>
    </row>
    <row r="947">
      <c r="A947" s="152"/>
      <c r="B947" s="152"/>
      <c r="C947" s="152"/>
      <c r="D947" s="152"/>
      <c r="E947" s="152"/>
      <c r="F947" s="152"/>
      <c r="G947" s="152"/>
      <c r="H947" s="152"/>
      <c r="I947" s="152"/>
      <c r="J947" s="152"/>
      <c r="K947" s="152"/>
      <c r="L947" s="152"/>
      <c r="M947" s="152"/>
      <c r="N947" s="152"/>
      <c r="O947" s="152"/>
      <c r="P947" s="152"/>
      <c r="Q947" s="152"/>
      <c r="R947" s="152"/>
      <c r="S947" s="152"/>
      <c r="T947" s="152"/>
      <c r="U947" s="152"/>
      <c r="V947" s="152"/>
      <c r="W947" s="152"/>
      <c r="X947" s="152"/>
      <c r="Y947" s="152"/>
      <c r="Z947" s="152"/>
      <c r="AA947" s="152"/>
      <c r="AB947" s="152"/>
      <c r="AC947" s="152"/>
      <c r="AD947" s="152"/>
      <c r="AE947" s="152"/>
      <c r="AF947" s="152"/>
      <c r="AG947" s="152"/>
      <c r="AH947" s="152"/>
      <c r="AI947" s="152"/>
      <c r="AJ947" s="152"/>
      <c r="AK947" s="152"/>
      <c r="AL947" s="152"/>
      <c r="AM947" s="152"/>
    </row>
    <row r="948">
      <c r="A948" s="152"/>
      <c r="B948" s="152"/>
      <c r="C948" s="152"/>
      <c r="D948" s="152"/>
      <c r="E948" s="152"/>
      <c r="F948" s="152"/>
      <c r="G948" s="152"/>
      <c r="H948" s="152"/>
      <c r="I948" s="152"/>
      <c r="J948" s="152"/>
      <c r="K948" s="152"/>
      <c r="L948" s="152"/>
      <c r="M948" s="152"/>
      <c r="N948" s="152"/>
      <c r="O948" s="152"/>
      <c r="P948" s="152"/>
      <c r="Q948" s="152"/>
      <c r="R948" s="152"/>
      <c r="S948" s="152"/>
      <c r="T948" s="152"/>
      <c r="U948" s="152"/>
      <c r="V948" s="152"/>
      <c r="W948" s="152"/>
      <c r="X948" s="152"/>
      <c r="Y948" s="152"/>
      <c r="Z948" s="152"/>
      <c r="AA948" s="152"/>
      <c r="AB948" s="152"/>
      <c r="AC948" s="152"/>
      <c r="AD948" s="152"/>
      <c r="AE948" s="152"/>
      <c r="AF948" s="152"/>
      <c r="AG948" s="152"/>
      <c r="AH948" s="152"/>
      <c r="AI948" s="152"/>
      <c r="AJ948" s="152"/>
      <c r="AK948" s="152"/>
      <c r="AL948" s="152"/>
      <c r="AM948" s="152"/>
    </row>
    <row r="949">
      <c r="A949" s="152"/>
      <c r="B949" s="152"/>
      <c r="C949" s="152"/>
      <c r="D949" s="152"/>
      <c r="E949" s="152"/>
      <c r="F949" s="152"/>
      <c r="G949" s="152"/>
      <c r="H949" s="152"/>
      <c r="I949" s="152"/>
      <c r="J949" s="152"/>
      <c r="K949" s="152"/>
      <c r="L949" s="152"/>
      <c r="M949" s="152"/>
      <c r="N949" s="152"/>
      <c r="O949" s="152"/>
      <c r="P949" s="152"/>
      <c r="Q949" s="152"/>
      <c r="R949" s="152"/>
      <c r="S949" s="152"/>
      <c r="T949" s="152"/>
      <c r="U949" s="152"/>
      <c r="V949" s="152"/>
      <c r="W949" s="152"/>
      <c r="X949" s="152"/>
      <c r="Y949" s="152"/>
      <c r="Z949" s="152"/>
      <c r="AA949" s="152"/>
      <c r="AB949" s="152"/>
      <c r="AC949" s="152"/>
      <c r="AD949" s="152"/>
      <c r="AE949" s="152"/>
      <c r="AF949" s="152"/>
      <c r="AG949" s="152"/>
      <c r="AH949" s="152"/>
      <c r="AI949" s="152"/>
      <c r="AJ949" s="152"/>
      <c r="AK949" s="152"/>
      <c r="AL949" s="152"/>
      <c r="AM949" s="152"/>
    </row>
    <row r="950">
      <c r="A950" s="152"/>
      <c r="B950" s="152"/>
      <c r="C950" s="152"/>
      <c r="D950" s="152"/>
      <c r="E950" s="152"/>
      <c r="F950" s="152"/>
      <c r="G950" s="152"/>
      <c r="H950" s="152"/>
      <c r="I950" s="152"/>
      <c r="J950" s="152"/>
      <c r="K950" s="152"/>
      <c r="L950" s="152"/>
      <c r="M950" s="152"/>
      <c r="N950" s="152"/>
      <c r="O950" s="152"/>
      <c r="P950" s="152"/>
      <c r="Q950" s="152"/>
      <c r="R950" s="152"/>
      <c r="S950" s="152"/>
      <c r="T950" s="152"/>
      <c r="U950" s="152"/>
      <c r="V950" s="152"/>
      <c r="W950" s="152"/>
      <c r="X950" s="152"/>
      <c r="Y950" s="152"/>
      <c r="Z950" s="152"/>
      <c r="AA950" s="152"/>
      <c r="AB950" s="152"/>
      <c r="AC950" s="152"/>
      <c r="AD950" s="152"/>
      <c r="AE950" s="152"/>
      <c r="AF950" s="152"/>
      <c r="AG950" s="152"/>
      <c r="AH950" s="152"/>
      <c r="AI950" s="152"/>
      <c r="AJ950" s="152"/>
      <c r="AK950" s="152"/>
      <c r="AL950" s="152"/>
      <c r="AM950" s="152"/>
    </row>
    <row r="951">
      <c r="A951" s="152"/>
      <c r="B951" s="152"/>
      <c r="C951" s="152"/>
      <c r="D951" s="152"/>
      <c r="E951" s="152"/>
      <c r="F951" s="152"/>
      <c r="G951" s="152"/>
      <c r="H951" s="152"/>
      <c r="I951" s="152"/>
      <c r="J951" s="152"/>
      <c r="K951" s="152"/>
      <c r="L951" s="152"/>
      <c r="M951" s="152"/>
      <c r="N951" s="152"/>
      <c r="O951" s="152"/>
      <c r="P951" s="152"/>
      <c r="Q951" s="152"/>
      <c r="R951" s="152"/>
      <c r="S951" s="152"/>
      <c r="T951" s="152"/>
      <c r="U951" s="152"/>
      <c r="V951" s="152"/>
      <c r="W951" s="152"/>
      <c r="X951" s="152"/>
      <c r="Y951" s="152"/>
      <c r="Z951" s="152"/>
      <c r="AA951" s="152"/>
      <c r="AB951" s="152"/>
      <c r="AC951" s="152"/>
      <c r="AD951" s="152"/>
      <c r="AE951" s="152"/>
      <c r="AF951" s="152"/>
      <c r="AG951" s="152"/>
      <c r="AH951" s="152"/>
      <c r="AI951" s="152"/>
      <c r="AJ951" s="152"/>
      <c r="AK951" s="152"/>
      <c r="AL951" s="152"/>
      <c r="AM951" s="152"/>
    </row>
    <row r="952">
      <c r="A952" s="152"/>
      <c r="B952" s="152"/>
      <c r="C952" s="152"/>
      <c r="D952" s="152"/>
      <c r="E952" s="152"/>
      <c r="F952" s="152"/>
      <c r="G952" s="152"/>
      <c r="H952" s="152"/>
      <c r="I952" s="152"/>
      <c r="J952" s="152"/>
      <c r="K952" s="152"/>
      <c r="L952" s="152"/>
      <c r="M952" s="152"/>
      <c r="N952" s="152"/>
      <c r="O952" s="152"/>
      <c r="P952" s="152"/>
      <c r="Q952" s="152"/>
      <c r="R952" s="152"/>
      <c r="S952" s="152"/>
      <c r="T952" s="152"/>
      <c r="U952" s="152"/>
      <c r="V952" s="152"/>
      <c r="W952" s="152"/>
      <c r="X952" s="152"/>
      <c r="Y952" s="152"/>
      <c r="Z952" s="152"/>
      <c r="AA952" s="152"/>
      <c r="AB952" s="152"/>
      <c r="AC952" s="152"/>
      <c r="AD952" s="152"/>
      <c r="AE952" s="152"/>
      <c r="AF952" s="152"/>
      <c r="AG952" s="152"/>
      <c r="AH952" s="152"/>
      <c r="AI952" s="152"/>
      <c r="AJ952" s="152"/>
      <c r="AK952" s="152"/>
      <c r="AL952" s="152"/>
      <c r="AM952" s="152"/>
    </row>
    <row r="953">
      <c r="A953" s="152"/>
      <c r="B953" s="152"/>
      <c r="C953" s="152"/>
      <c r="D953" s="152"/>
      <c r="E953" s="152"/>
      <c r="F953" s="152"/>
      <c r="G953" s="152"/>
      <c r="H953" s="152"/>
      <c r="I953" s="152"/>
      <c r="J953" s="152"/>
      <c r="K953" s="152"/>
      <c r="L953" s="152"/>
      <c r="M953" s="152"/>
      <c r="N953" s="152"/>
      <c r="O953" s="152"/>
      <c r="P953" s="152"/>
      <c r="Q953" s="152"/>
      <c r="R953" s="152"/>
      <c r="S953" s="152"/>
      <c r="T953" s="152"/>
      <c r="U953" s="152"/>
      <c r="V953" s="152"/>
      <c r="W953" s="152"/>
      <c r="X953" s="152"/>
      <c r="Y953" s="152"/>
      <c r="Z953" s="152"/>
      <c r="AA953" s="152"/>
      <c r="AB953" s="152"/>
      <c r="AC953" s="152"/>
      <c r="AD953" s="152"/>
      <c r="AE953" s="152"/>
      <c r="AF953" s="152"/>
      <c r="AG953" s="152"/>
      <c r="AH953" s="152"/>
      <c r="AI953" s="152"/>
      <c r="AJ953" s="152"/>
      <c r="AK953" s="152"/>
      <c r="AL953" s="152"/>
      <c r="AM953" s="152"/>
    </row>
    <row r="954">
      <c r="A954" s="152"/>
      <c r="B954" s="152"/>
      <c r="C954" s="152"/>
      <c r="D954" s="152"/>
      <c r="E954" s="152"/>
      <c r="F954" s="152"/>
      <c r="G954" s="152"/>
      <c r="H954" s="152"/>
      <c r="I954" s="152"/>
      <c r="J954" s="152"/>
      <c r="K954" s="152"/>
      <c r="L954" s="152"/>
      <c r="M954" s="152"/>
      <c r="N954" s="152"/>
      <c r="O954" s="152"/>
      <c r="P954" s="152"/>
      <c r="Q954" s="152"/>
      <c r="R954" s="152"/>
      <c r="S954" s="152"/>
      <c r="T954" s="152"/>
      <c r="U954" s="152"/>
      <c r="V954" s="152"/>
      <c r="W954" s="152"/>
      <c r="X954" s="152"/>
      <c r="Y954" s="152"/>
      <c r="Z954" s="152"/>
      <c r="AA954" s="152"/>
      <c r="AB954" s="152"/>
      <c r="AC954" s="152"/>
      <c r="AD954" s="152"/>
      <c r="AE954" s="152"/>
      <c r="AF954" s="152"/>
      <c r="AG954" s="152"/>
      <c r="AH954" s="152"/>
      <c r="AI954" s="152"/>
      <c r="AJ954" s="152"/>
      <c r="AK954" s="152"/>
      <c r="AL954" s="152"/>
      <c r="AM954" s="152"/>
    </row>
    <row r="955">
      <c r="A955" s="152"/>
      <c r="B955" s="152"/>
      <c r="C955" s="152"/>
      <c r="D955" s="152"/>
      <c r="E955" s="152"/>
      <c r="F955" s="152"/>
      <c r="G955" s="152"/>
      <c r="H955" s="152"/>
      <c r="I955" s="152"/>
      <c r="J955" s="152"/>
      <c r="K955" s="152"/>
      <c r="L955" s="152"/>
      <c r="M955" s="152"/>
      <c r="N955" s="152"/>
      <c r="O955" s="152"/>
      <c r="P955" s="152"/>
      <c r="Q955" s="152"/>
      <c r="R955" s="152"/>
      <c r="S955" s="152"/>
      <c r="T955" s="152"/>
      <c r="U955" s="152"/>
      <c r="V955" s="152"/>
      <c r="W955" s="152"/>
      <c r="X955" s="152"/>
      <c r="Y955" s="152"/>
      <c r="Z955" s="152"/>
      <c r="AA955" s="152"/>
      <c r="AB955" s="152"/>
      <c r="AC955" s="152"/>
      <c r="AD955" s="152"/>
      <c r="AE955" s="152"/>
      <c r="AF955" s="152"/>
      <c r="AG955" s="152"/>
      <c r="AH955" s="152"/>
      <c r="AI955" s="152"/>
      <c r="AJ955" s="152"/>
      <c r="AK955" s="152"/>
      <c r="AL955" s="152"/>
      <c r="AM955" s="152"/>
    </row>
    <row r="956">
      <c r="A956" s="152"/>
      <c r="B956" s="152"/>
      <c r="C956" s="152"/>
      <c r="D956" s="152"/>
      <c r="E956" s="152"/>
      <c r="F956" s="152"/>
      <c r="G956" s="152"/>
      <c r="H956" s="152"/>
      <c r="I956" s="152"/>
      <c r="J956" s="152"/>
      <c r="K956" s="152"/>
      <c r="L956" s="152"/>
      <c r="M956" s="152"/>
      <c r="N956" s="152"/>
      <c r="O956" s="152"/>
      <c r="P956" s="152"/>
      <c r="Q956" s="152"/>
      <c r="R956" s="152"/>
      <c r="S956" s="152"/>
      <c r="T956" s="152"/>
      <c r="U956" s="152"/>
      <c r="V956" s="152"/>
      <c r="W956" s="152"/>
      <c r="X956" s="152"/>
      <c r="Y956" s="152"/>
      <c r="Z956" s="152"/>
      <c r="AA956" s="152"/>
      <c r="AB956" s="152"/>
      <c r="AC956" s="152"/>
      <c r="AD956" s="152"/>
      <c r="AE956" s="152"/>
      <c r="AF956" s="152"/>
      <c r="AG956" s="152"/>
      <c r="AH956" s="152"/>
      <c r="AI956" s="152"/>
      <c r="AJ956" s="152"/>
      <c r="AK956" s="152"/>
      <c r="AL956" s="152"/>
      <c r="AM956" s="152"/>
    </row>
    <row r="957">
      <c r="A957" s="152"/>
      <c r="B957" s="152"/>
      <c r="C957" s="152"/>
      <c r="D957" s="152"/>
      <c r="E957" s="152"/>
      <c r="F957" s="152"/>
      <c r="G957" s="152"/>
      <c r="H957" s="152"/>
      <c r="I957" s="152"/>
      <c r="J957" s="152"/>
      <c r="K957" s="152"/>
      <c r="L957" s="152"/>
      <c r="M957" s="152"/>
      <c r="N957" s="152"/>
      <c r="O957" s="152"/>
      <c r="P957" s="152"/>
      <c r="Q957" s="152"/>
      <c r="R957" s="152"/>
      <c r="S957" s="152"/>
      <c r="T957" s="152"/>
      <c r="U957" s="152"/>
      <c r="V957" s="152"/>
      <c r="W957" s="152"/>
      <c r="X957" s="152"/>
      <c r="Y957" s="152"/>
      <c r="Z957" s="152"/>
      <c r="AA957" s="152"/>
      <c r="AB957" s="152"/>
      <c r="AC957" s="152"/>
      <c r="AD957" s="152"/>
      <c r="AE957" s="152"/>
      <c r="AF957" s="152"/>
      <c r="AG957" s="152"/>
      <c r="AH957" s="152"/>
      <c r="AI957" s="152"/>
      <c r="AJ957" s="152"/>
      <c r="AK957" s="152"/>
      <c r="AL957" s="152"/>
      <c r="AM957" s="152"/>
    </row>
    <row r="958">
      <c r="A958" s="152"/>
      <c r="B958" s="152"/>
      <c r="C958" s="152"/>
      <c r="D958" s="152"/>
      <c r="E958" s="152"/>
      <c r="F958" s="152"/>
      <c r="G958" s="152"/>
      <c r="H958" s="152"/>
      <c r="I958" s="152"/>
      <c r="J958" s="152"/>
      <c r="K958" s="152"/>
      <c r="L958" s="152"/>
      <c r="M958" s="152"/>
      <c r="N958" s="152"/>
      <c r="O958" s="152"/>
      <c r="P958" s="152"/>
      <c r="Q958" s="152"/>
      <c r="R958" s="152"/>
      <c r="S958" s="152"/>
      <c r="T958" s="152"/>
      <c r="U958" s="152"/>
      <c r="V958" s="152"/>
      <c r="W958" s="152"/>
      <c r="X958" s="152"/>
      <c r="Y958" s="152"/>
      <c r="Z958" s="152"/>
      <c r="AA958" s="152"/>
      <c r="AB958" s="152"/>
      <c r="AC958" s="152"/>
      <c r="AD958" s="152"/>
      <c r="AE958" s="152"/>
      <c r="AF958" s="152"/>
      <c r="AG958" s="152"/>
      <c r="AH958" s="152"/>
      <c r="AI958" s="152"/>
      <c r="AJ958" s="152"/>
      <c r="AK958" s="152"/>
      <c r="AL958" s="152"/>
      <c r="AM958" s="152"/>
    </row>
    <row r="959">
      <c r="A959" s="152"/>
      <c r="B959" s="152"/>
      <c r="C959" s="152"/>
      <c r="D959" s="152"/>
      <c r="E959" s="152"/>
      <c r="F959" s="152"/>
      <c r="G959" s="152"/>
      <c r="H959" s="152"/>
      <c r="I959" s="152"/>
      <c r="J959" s="152"/>
      <c r="K959" s="152"/>
      <c r="L959" s="152"/>
      <c r="M959" s="152"/>
      <c r="N959" s="152"/>
      <c r="O959" s="152"/>
      <c r="P959" s="152"/>
      <c r="Q959" s="152"/>
      <c r="R959" s="152"/>
      <c r="S959" s="152"/>
      <c r="T959" s="152"/>
      <c r="U959" s="152"/>
      <c r="V959" s="152"/>
      <c r="W959" s="152"/>
      <c r="X959" s="152"/>
      <c r="Y959" s="152"/>
      <c r="Z959" s="152"/>
      <c r="AA959" s="152"/>
      <c r="AB959" s="152"/>
      <c r="AC959" s="152"/>
      <c r="AD959" s="152"/>
      <c r="AE959" s="152"/>
      <c r="AF959" s="152"/>
      <c r="AG959" s="152"/>
      <c r="AH959" s="152"/>
      <c r="AI959" s="152"/>
      <c r="AJ959" s="152"/>
      <c r="AK959" s="152"/>
      <c r="AL959" s="152"/>
      <c r="AM959" s="152"/>
    </row>
    <row r="960">
      <c r="A960" s="152"/>
      <c r="B960" s="152"/>
      <c r="C960" s="152"/>
      <c r="D960" s="152"/>
      <c r="E960" s="152"/>
      <c r="F960" s="152"/>
      <c r="G960" s="152"/>
      <c r="H960" s="152"/>
      <c r="I960" s="152"/>
      <c r="J960" s="152"/>
      <c r="K960" s="152"/>
      <c r="L960" s="152"/>
      <c r="M960" s="152"/>
      <c r="N960" s="152"/>
      <c r="O960" s="152"/>
      <c r="P960" s="152"/>
      <c r="Q960" s="152"/>
      <c r="R960" s="152"/>
      <c r="S960" s="152"/>
      <c r="T960" s="152"/>
      <c r="U960" s="152"/>
      <c r="V960" s="152"/>
      <c r="W960" s="152"/>
      <c r="X960" s="152"/>
      <c r="Y960" s="152"/>
      <c r="Z960" s="152"/>
      <c r="AA960" s="152"/>
      <c r="AB960" s="152"/>
      <c r="AC960" s="152"/>
      <c r="AD960" s="152"/>
      <c r="AE960" s="152"/>
      <c r="AF960" s="152"/>
      <c r="AG960" s="152"/>
      <c r="AH960" s="152"/>
      <c r="AI960" s="152"/>
      <c r="AJ960" s="152"/>
      <c r="AK960" s="152"/>
      <c r="AL960" s="152"/>
      <c r="AM960" s="152"/>
    </row>
    <row r="961">
      <c r="A961" s="152"/>
      <c r="B961" s="152"/>
      <c r="C961" s="152"/>
      <c r="D961" s="152"/>
      <c r="E961" s="152"/>
      <c r="F961" s="152"/>
      <c r="G961" s="152"/>
      <c r="H961" s="152"/>
      <c r="I961" s="152"/>
      <c r="J961" s="152"/>
      <c r="K961" s="152"/>
      <c r="L961" s="152"/>
      <c r="M961" s="152"/>
      <c r="N961" s="152"/>
      <c r="O961" s="152"/>
      <c r="P961" s="152"/>
      <c r="Q961" s="152"/>
      <c r="R961" s="152"/>
      <c r="S961" s="152"/>
      <c r="T961" s="152"/>
      <c r="U961" s="152"/>
      <c r="V961" s="152"/>
      <c r="W961" s="152"/>
      <c r="X961" s="152"/>
      <c r="Y961" s="152"/>
      <c r="Z961" s="152"/>
      <c r="AA961" s="152"/>
      <c r="AB961" s="152"/>
      <c r="AC961" s="152"/>
      <c r="AD961" s="152"/>
      <c r="AE961" s="152"/>
      <c r="AF961" s="152"/>
      <c r="AG961" s="152"/>
      <c r="AH961" s="152"/>
      <c r="AI961" s="152"/>
      <c r="AJ961" s="152"/>
      <c r="AK961" s="152"/>
      <c r="AL961" s="152"/>
      <c r="AM961" s="152"/>
    </row>
    <row r="962">
      <c r="A962" s="152"/>
      <c r="B962" s="152"/>
      <c r="C962" s="152"/>
      <c r="D962" s="152"/>
      <c r="E962" s="152"/>
      <c r="F962" s="152"/>
      <c r="G962" s="152"/>
      <c r="H962" s="152"/>
      <c r="I962" s="152"/>
      <c r="J962" s="152"/>
      <c r="K962" s="152"/>
      <c r="L962" s="152"/>
      <c r="M962" s="152"/>
      <c r="N962" s="152"/>
      <c r="O962" s="152"/>
      <c r="P962" s="152"/>
      <c r="Q962" s="152"/>
      <c r="R962" s="152"/>
      <c r="S962" s="152"/>
      <c r="T962" s="152"/>
      <c r="U962" s="152"/>
      <c r="V962" s="152"/>
      <c r="W962" s="152"/>
      <c r="X962" s="152"/>
      <c r="Y962" s="152"/>
      <c r="Z962" s="152"/>
      <c r="AA962" s="152"/>
      <c r="AB962" s="152"/>
      <c r="AC962" s="152"/>
      <c r="AD962" s="152"/>
      <c r="AE962" s="152"/>
      <c r="AF962" s="152"/>
      <c r="AG962" s="152"/>
      <c r="AH962" s="152"/>
      <c r="AI962" s="152"/>
      <c r="AJ962" s="152"/>
      <c r="AK962" s="152"/>
      <c r="AL962" s="152"/>
      <c r="AM962" s="152"/>
    </row>
    <row r="963">
      <c r="A963" s="152"/>
      <c r="B963" s="152"/>
      <c r="C963" s="152"/>
      <c r="D963" s="152"/>
      <c r="E963" s="152"/>
      <c r="F963" s="152"/>
      <c r="G963" s="152"/>
      <c r="H963" s="152"/>
      <c r="I963" s="152"/>
      <c r="J963" s="152"/>
      <c r="K963" s="152"/>
      <c r="L963" s="152"/>
      <c r="M963" s="152"/>
      <c r="N963" s="152"/>
      <c r="O963" s="152"/>
      <c r="P963" s="152"/>
      <c r="Q963" s="152"/>
      <c r="R963" s="152"/>
      <c r="S963" s="152"/>
      <c r="T963" s="152"/>
      <c r="U963" s="152"/>
      <c r="V963" s="152"/>
      <c r="W963" s="152"/>
      <c r="X963" s="152"/>
      <c r="Y963" s="152"/>
      <c r="Z963" s="152"/>
      <c r="AA963" s="152"/>
      <c r="AB963" s="152"/>
      <c r="AC963" s="152"/>
      <c r="AD963" s="152"/>
      <c r="AE963" s="152"/>
      <c r="AF963" s="152"/>
      <c r="AG963" s="152"/>
      <c r="AH963" s="152"/>
      <c r="AI963" s="152"/>
      <c r="AJ963" s="152"/>
      <c r="AK963" s="152"/>
      <c r="AL963" s="152"/>
      <c r="AM963" s="152"/>
    </row>
    <row r="964">
      <c r="A964" s="152"/>
      <c r="B964" s="152"/>
      <c r="C964" s="152"/>
      <c r="D964" s="152"/>
      <c r="E964" s="152"/>
      <c r="F964" s="152"/>
      <c r="G964" s="152"/>
      <c r="H964" s="152"/>
      <c r="I964" s="152"/>
      <c r="J964" s="152"/>
      <c r="K964" s="152"/>
      <c r="L964" s="152"/>
      <c r="M964" s="152"/>
      <c r="N964" s="152"/>
      <c r="O964" s="152"/>
      <c r="P964" s="152"/>
      <c r="Q964" s="152"/>
      <c r="R964" s="152"/>
      <c r="S964" s="152"/>
      <c r="T964" s="152"/>
      <c r="U964" s="152"/>
      <c r="V964" s="152"/>
      <c r="W964" s="152"/>
      <c r="X964" s="152"/>
      <c r="Y964" s="152"/>
      <c r="Z964" s="152"/>
      <c r="AA964" s="152"/>
      <c r="AB964" s="152"/>
      <c r="AC964" s="152"/>
      <c r="AD964" s="152"/>
      <c r="AE964" s="152"/>
      <c r="AF964" s="152"/>
      <c r="AG964" s="152"/>
      <c r="AH964" s="152"/>
      <c r="AI964" s="152"/>
      <c r="AJ964" s="152"/>
      <c r="AK964" s="152"/>
      <c r="AL964" s="152"/>
      <c r="AM964" s="152"/>
    </row>
    <row r="965">
      <c r="A965" s="152"/>
      <c r="B965" s="152"/>
      <c r="C965" s="152"/>
      <c r="D965" s="152"/>
      <c r="E965" s="152"/>
      <c r="F965" s="152"/>
      <c r="G965" s="152"/>
      <c r="H965" s="152"/>
      <c r="I965" s="152"/>
      <c r="J965" s="152"/>
      <c r="K965" s="152"/>
      <c r="L965" s="152"/>
      <c r="M965" s="152"/>
      <c r="N965" s="152"/>
      <c r="O965" s="152"/>
      <c r="P965" s="152"/>
      <c r="Q965" s="152"/>
      <c r="R965" s="152"/>
      <c r="S965" s="152"/>
      <c r="T965" s="152"/>
      <c r="U965" s="152"/>
      <c r="V965" s="152"/>
      <c r="W965" s="152"/>
      <c r="X965" s="152"/>
      <c r="Y965" s="152"/>
      <c r="Z965" s="152"/>
      <c r="AA965" s="152"/>
      <c r="AB965" s="152"/>
      <c r="AC965" s="152"/>
      <c r="AD965" s="152"/>
      <c r="AE965" s="152"/>
      <c r="AF965" s="152"/>
      <c r="AG965" s="152"/>
      <c r="AH965" s="152"/>
      <c r="AI965" s="152"/>
      <c r="AJ965" s="152"/>
      <c r="AK965" s="152"/>
      <c r="AL965" s="152"/>
      <c r="AM965" s="152"/>
    </row>
    <row r="966">
      <c r="A966" s="152"/>
      <c r="B966" s="152"/>
      <c r="C966" s="152"/>
      <c r="D966" s="152"/>
      <c r="E966" s="152"/>
      <c r="F966" s="152"/>
      <c r="G966" s="152"/>
      <c r="H966" s="152"/>
      <c r="I966" s="152"/>
      <c r="J966" s="152"/>
      <c r="K966" s="152"/>
      <c r="L966" s="152"/>
      <c r="M966" s="152"/>
      <c r="N966" s="152"/>
      <c r="O966" s="152"/>
      <c r="P966" s="152"/>
      <c r="Q966" s="152"/>
      <c r="R966" s="152"/>
      <c r="S966" s="152"/>
      <c r="T966" s="152"/>
      <c r="U966" s="152"/>
      <c r="V966" s="152"/>
      <c r="W966" s="152"/>
      <c r="X966" s="152"/>
      <c r="Y966" s="152"/>
      <c r="Z966" s="152"/>
      <c r="AA966" s="152"/>
      <c r="AB966" s="152"/>
      <c r="AC966" s="152"/>
      <c r="AD966" s="152"/>
      <c r="AE966" s="152"/>
      <c r="AF966" s="152"/>
      <c r="AG966" s="152"/>
      <c r="AH966" s="152"/>
      <c r="AI966" s="152"/>
      <c r="AJ966" s="152"/>
      <c r="AK966" s="152"/>
      <c r="AL966" s="152"/>
      <c r="AM966" s="152"/>
    </row>
    <row r="967">
      <c r="A967" s="152"/>
      <c r="B967" s="152"/>
      <c r="C967" s="152"/>
      <c r="D967" s="152"/>
      <c r="E967" s="152"/>
      <c r="F967" s="152"/>
      <c r="G967" s="152"/>
      <c r="H967" s="152"/>
      <c r="I967" s="152"/>
      <c r="J967" s="152"/>
      <c r="K967" s="152"/>
      <c r="L967" s="152"/>
      <c r="M967" s="152"/>
      <c r="N967" s="152"/>
      <c r="O967" s="152"/>
      <c r="P967" s="152"/>
      <c r="Q967" s="152"/>
      <c r="R967" s="152"/>
      <c r="S967" s="152"/>
      <c r="T967" s="152"/>
      <c r="U967" s="152"/>
      <c r="V967" s="152"/>
      <c r="W967" s="152"/>
      <c r="X967" s="152"/>
      <c r="Y967" s="152"/>
      <c r="Z967" s="152"/>
      <c r="AA967" s="152"/>
      <c r="AB967" s="152"/>
      <c r="AC967" s="152"/>
      <c r="AD967" s="152"/>
      <c r="AE967" s="152"/>
      <c r="AF967" s="152"/>
      <c r="AG967" s="152"/>
      <c r="AH967" s="152"/>
      <c r="AI967" s="152"/>
      <c r="AJ967" s="152"/>
      <c r="AK967" s="152"/>
      <c r="AL967" s="152"/>
      <c r="AM967" s="152"/>
    </row>
    <row r="968">
      <c r="A968" s="152"/>
      <c r="B968" s="152"/>
      <c r="C968" s="152"/>
      <c r="D968" s="152"/>
      <c r="E968" s="152"/>
      <c r="F968" s="152"/>
      <c r="G968" s="152"/>
      <c r="H968" s="152"/>
      <c r="I968" s="152"/>
      <c r="J968" s="152"/>
      <c r="K968" s="152"/>
      <c r="L968" s="152"/>
      <c r="M968" s="152"/>
      <c r="N968" s="152"/>
      <c r="O968" s="152"/>
      <c r="P968" s="152"/>
      <c r="Q968" s="152"/>
      <c r="R968" s="152"/>
      <c r="S968" s="152"/>
      <c r="T968" s="152"/>
      <c r="U968" s="152"/>
      <c r="V968" s="152"/>
      <c r="W968" s="152"/>
      <c r="X968" s="152"/>
      <c r="Y968" s="152"/>
      <c r="Z968" s="152"/>
      <c r="AA968" s="152"/>
      <c r="AB968" s="152"/>
      <c r="AC968" s="152"/>
      <c r="AD968" s="152"/>
      <c r="AE968" s="152"/>
      <c r="AF968" s="152"/>
      <c r="AG968" s="152"/>
      <c r="AH968" s="152"/>
      <c r="AI968" s="152"/>
      <c r="AJ968" s="152"/>
      <c r="AK968" s="152"/>
      <c r="AL968" s="152"/>
      <c r="AM968" s="152"/>
    </row>
    <row r="969">
      <c r="A969" s="152"/>
      <c r="B969" s="152"/>
      <c r="C969" s="152"/>
      <c r="D969" s="152"/>
      <c r="E969" s="152"/>
      <c r="F969" s="152"/>
      <c r="G969" s="152"/>
      <c r="H969" s="152"/>
      <c r="I969" s="152"/>
      <c r="J969" s="152"/>
      <c r="K969" s="152"/>
      <c r="L969" s="152"/>
      <c r="M969" s="152"/>
      <c r="N969" s="152"/>
      <c r="O969" s="152"/>
      <c r="P969" s="152"/>
      <c r="Q969" s="152"/>
      <c r="R969" s="152"/>
      <c r="S969" s="152"/>
      <c r="T969" s="152"/>
      <c r="U969" s="152"/>
      <c r="V969" s="152"/>
      <c r="W969" s="152"/>
      <c r="X969" s="152"/>
      <c r="Y969" s="152"/>
      <c r="Z969" s="152"/>
      <c r="AA969" s="152"/>
      <c r="AB969" s="152"/>
      <c r="AC969" s="152"/>
      <c r="AD969" s="152"/>
      <c r="AE969" s="152"/>
      <c r="AF969" s="152"/>
      <c r="AG969" s="152"/>
      <c r="AH969" s="152"/>
      <c r="AI969" s="152"/>
      <c r="AJ969" s="152"/>
      <c r="AK969" s="152"/>
      <c r="AL969" s="152"/>
      <c r="AM969" s="152"/>
    </row>
    <row r="970">
      <c r="A970" s="152"/>
      <c r="B970" s="152"/>
      <c r="C970" s="152"/>
      <c r="D970" s="152"/>
      <c r="E970" s="152"/>
      <c r="F970" s="152"/>
      <c r="G970" s="152"/>
      <c r="H970" s="152"/>
      <c r="I970" s="152"/>
      <c r="J970" s="152"/>
      <c r="K970" s="152"/>
      <c r="L970" s="152"/>
      <c r="M970" s="152"/>
      <c r="N970" s="152"/>
      <c r="O970" s="152"/>
      <c r="P970" s="152"/>
      <c r="Q970" s="152"/>
      <c r="R970" s="152"/>
      <c r="S970" s="152"/>
      <c r="T970" s="152"/>
      <c r="U970" s="152"/>
      <c r="V970" s="152"/>
      <c r="W970" s="152"/>
      <c r="X970" s="152"/>
      <c r="Y970" s="152"/>
      <c r="Z970" s="152"/>
      <c r="AA970" s="152"/>
      <c r="AB970" s="152"/>
      <c r="AC970" s="152"/>
      <c r="AD970" s="152"/>
      <c r="AE970" s="152"/>
      <c r="AF970" s="152"/>
      <c r="AG970" s="152"/>
      <c r="AH970" s="152"/>
      <c r="AI970" s="152"/>
      <c r="AJ970" s="152"/>
      <c r="AK970" s="152"/>
      <c r="AL970" s="152"/>
      <c r="AM970" s="152"/>
    </row>
    <row r="971">
      <c r="A971" s="152"/>
      <c r="B971" s="152"/>
      <c r="C971" s="152"/>
      <c r="D971" s="152"/>
      <c r="E971" s="152"/>
      <c r="F971" s="152"/>
      <c r="G971" s="152"/>
      <c r="H971" s="152"/>
      <c r="I971" s="152"/>
      <c r="J971" s="152"/>
      <c r="K971" s="152"/>
      <c r="L971" s="152"/>
      <c r="M971" s="152"/>
      <c r="N971" s="152"/>
      <c r="O971" s="152"/>
      <c r="P971" s="152"/>
      <c r="Q971" s="152"/>
      <c r="R971" s="152"/>
      <c r="S971" s="152"/>
      <c r="T971" s="152"/>
      <c r="U971" s="152"/>
      <c r="V971" s="152"/>
      <c r="W971" s="152"/>
      <c r="X971" s="152"/>
      <c r="Y971" s="152"/>
      <c r="Z971" s="152"/>
      <c r="AA971" s="152"/>
      <c r="AB971" s="152"/>
      <c r="AC971" s="152"/>
      <c r="AD971" s="152"/>
      <c r="AE971" s="152"/>
      <c r="AF971" s="152"/>
      <c r="AG971" s="152"/>
      <c r="AH971" s="152"/>
      <c r="AI971" s="152"/>
      <c r="AJ971" s="152"/>
      <c r="AK971" s="152"/>
      <c r="AL971" s="152"/>
      <c r="AM971" s="152"/>
    </row>
    <row r="972">
      <c r="A972" s="152"/>
      <c r="B972" s="152"/>
      <c r="C972" s="152"/>
      <c r="D972" s="152"/>
      <c r="E972" s="152"/>
      <c r="F972" s="152"/>
      <c r="G972" s="152"/>
      <c r="H972" s="152"/>
      <c r="I972" s="152"/>
      <c r="J972" s="152"/>
      <c r="K972" s="152"/>
      <c r="L972" s="152"/>
      <c r="M972" s="152"/>
      <c r="N972" s="152"/>
      <c r="O972" s="152"/>
      <c r="P972" s="152"/>
      <c r="Q972" s="152"/>
      <c r="R972" s="152"/>
      <c r="S972" s="152"/>
      <c r="T972" s="152"/>
      <c r="U972" s="152"/>
      <c r="V972" s="152"/>
      <c r="W972" s="152"/>
      <c r="X972" s="152"/>
      <c r="Y972" s="152"/>
      <c r="Z972" s="152"/>
      <c r="AA972" s="152"/>
      <c r="AB972" s="152"/>
      <c r="AC972" s="152"/>
      <c r="AD972" s="152"/>
      <c r="AE972" s="152"/>
      <c r="AF972" s="152"/>
      <c r="AG972" s="152"/>
      <c r="AH972" s="152"/>
      <c r="AI972" s="152"/>
      <c r="AJ972" s="152"/>
      <c r="AK972" s="152"/>
      <c r="AL972" s="152"/>
      <c r="AM972" s="152"/>
    </row>
    <row r="973">
      <c r="A973" s="152"/>
      <c r="B973" s="152"/>
      <c r="C973" s="152"/>
      <c r="D973" s="152"/>
      <c r="E973" s="152"/>
      <c r="F973" s="152"/>
      <c r="G973" s="152"/>
      <c r="H973" s="152"/>
      <c r="I973" s="152"/>
      <c r="J973" s="152"/>
      <c r="K973" s="152"/>
      <c r="L973" s="152"/>
      <c r="M973" s="152"/>
      <c r="N973" s="152"/>
      <c r="O973" s="152"/>
      <c r="P973" s="152"/>
      <c r="Q973" s="152"/>
      <c r="R973" s="152"/>
      <c r="S973" s="152"/>
      <c r="T973" s="152"/>
      <c r="U973" s="152"/>
      <c r="V973" s="152"/>
      <c r="W973" s="152"/>
      <c r="X973" s="152"/>
      <c r="Y973" s="152"/>
      <c r="Z973" s="152"/>
      <c r="AA973" s="152"/>
      <c r="AB973" s="152"/>
      <c r="AC973" s="152"/>
      <c r="AD973" s="152"/>
      <c r="AE973" s="152"/>
      <c r="AF973" s="152"/>
      <c r="AG973" s="152"/>
      <c r="AH973" s="152"/>
      <c r="AI973" s="152"/>
      <c r="AJ973" s="152"/>
      <c r="AK973" s="152"/>
      <c r="AL973" s="152"/>
      <c r="AM973" s="152"/>
    </row>
    <row r="974">
      <c r="A974" s="152"/>
      <c r="B974" s="152"/>
      <c r="C974" s="152"/>
      <c r="D974" s="152"/>
      <c r="E974" s="152"/>
      <c r="F974" s="152"/>
      <c r="G974" s="152"/>
      <c r="H974" s="152"/>
      <c r="I974" s="152"/>
      <c r="J974" s="152"/>
      <c r="K974" s="152"/>
      <c r="L974" s="152"/>
      <c r="M974" s="152"/>
      <c r="N974" s="152"/>
      <c r="O974" s="152"/>
      <c r="P974" s="152"/>
      <c r="Q974" s="152"/>
      <c r="R974" s="152"/>
      <c r="S974" s="152"/>
      <c r="T974" s="152"/>
      <c r="U974" s="152"/>
      <c r="V974" s="152"/>
      <c r="W974" s="152"/>
      <c r="X974" s="152"/>
      <c r="Y974" s="152"/>
      <c r="Z974" s="152"/>
      <c r="AA974" s="152"/>
      <c r="AB974" s="152"/>
      <c r="AC974" s="152"/>
      <c r="AD974" s="152"/>
      <c r="AE974" s="152"/>
      <c r="AF974" s="152"/>
      <c r="AG974" s="152"/>
      <c r="AH974" s="152"/>
      <c r="AI974" s="152"/>
      <c r="AJ974" s="152"/>
      <c r="AK974" s="152"/>
      <c r="AL974" s="152"/>
      <c r="AM974" s="152"/>
    </row>
    <row r="975">
      <c r="A975" s="152"/>
      <c r="B975" s="152"/>
      <c r="C975" s="152"/>
      <c r="D975" s="152"/>
      <c r="E975" s="152"/>
      <c r="F975" s="152"/>
      <c r="G975" s="152"/>
      <c r="H975" s="152"/>
      <c r="I975" s="152"/>
      <c r="J975" s="152"/>
      <c r="K975" s="152"/>
      <c r="L975" s="152"/>
      <c r="M975" s="152"/>
      <c r="N975" s="152"/>
      <c r="O975" s="152"/>
      <c r="P975" s="152"/>
      <c r="Q975" s="152"/>
      <c r="R975" s="152"/>
      <c r="S975" s="152"/>
      <c r="T975" s="152"/>
      <c r="U975" s="152"/>
      <c r="V975" s="152"/>
      <c r="W975" s="152"/>
      <c r="X975" s="152"/>
      <c r="Y975" s="152"/>
      <c r="Z975" s="152"/>
      <c r="AA975" s="152"/>
      <c r="AB975" s="152"/>
      <c r="AC975" s="152"/>
      <c r="AD975" s="152"/>
      <c r="AE975" s="152"/>
      <c r="AF975" s="152"/>
      <c r="AG975" s="152"/>
      <c r="AH975" s="152"/>
      <c r="AI975" s="152"/>
      <c r="AJ975" s="152"/>
      <c r="AK975" s="152"/>
      <c r="AL975" s="152"/>
      <c r="AM975" s="152"/>
    </row>
    <row r="976">
      <c r="A976" s="152"/>
      <c r="B976" s="152"/>
      <c r="C976" s="152"/>
      <c r="D976" s="152"/>
      <c r="E976" s="152"/>
      <c r="F976" s="152"/>
      <c r="G976" s="152"/>
      <c r="H976" s="152"/>
      <c r="I976" s="152"/>
      <c r="J976" s="152"/>
      <c r="K976" s="152"/>
      <c r="L976" s="152"/>
      <c r="M976" s="152"/>
      <c r="N976" s="152"/>
      <c r="O976" s="152"/>
      <c r="P976" s="152"/>
      <c r="Q976" s="152"/>
      <c r="R976" s="152"/>
      <c r="S976" s="152"/>
      <c r="T976" s="152"/>
      <c r="U976" s="152"/>
      <c r="V976" s="152"/>
      <c r="W976" s="152"/>
      <c r="X976" s="152"/>
      <c r="Y976" s="152"/>
      <c r="Z976" s="152"/>
      <c r="AA976" s="152"/>
      <c r="AB976" s="152"/>
      <c r="AC976" s="152"/>
      <c r="AD976" s="152"/>
      <c r="AE976" s="152"/>
      <c r="AF976" s="152"/>
      <c r="AG976" s="152"/>
      <c r="AH976" s="152"/>
      <c r="AI976" s="152"/>
      <c r="AJ976" s="152"/>
      <c r="AK976" s="152"/>
      <c r="AL976" s="152"/>
      <c r="AM976" s="152"/>
    </row>
    <row r="977">
      <c r="A977" s="152"/>
      <c r="B977" s="152"/>
      <c r="C977" s="152"/>
      <c r="D977" s="152"/>
      <c r="E977" s="152"/>
      <c r="F977" s="152"/>
      <c r="G977" s="152"/>
      <c r="H977" s="152"/>
      <c r="I977" s="152"/>
      <c r="J977" s="152"/>
      <c r="K977" s="152"/>
      <c r="L977" s="152"/>
      <c r="M977" s="152"/>
      <c r="N977" s="152"/>
      <c r="O977" s="152"/>
      <c r="P977" s="152"/>
      <c r="Q977" s="152"/>
      <c r="R977" s="152"/>
      <c r="S977" s="152"/>
      <c r="T977" s="152"/>
      <c r="U977" s="152"/>
      <c r="V977" s="152"/>
      <c r="W977" s="152"/>
      <c r="X977" s="152"/>
      <c r="Y977" s="152"/>
      <c r="Z977" s="152"/>
      <c r="AA977" s="152"/>
      <c r="AB977" s="152"/>
      <c r="AC977" s="152"/>
      <c r="AD977" s="152"/>
      <c r="AE977" s="152"/>
      <c r="AF977" s="152"/>
      <c r="AG977" s="152"/>
      <c r="AH977" s="152"/>
      <c r="AI977" s="152"/>
      <c r="AJ977" s="152"/>
      <c r="AK977" s="152"/>
      <c r="AL977" s="152"/>
      <c r="AM977" s="152"/>
    </row>
    <row r="978">
      <c r="A978" s="152"/>
      <c r="B978" s="152"/>
      <c r="C978" s="152"/>
      <c r="D978" s="152"/>
      <c r="E978" s="152"/>
      <c r="F978" s="152"/>
      <c r="G978" s="152"/>
      <c r="H978" s="152"/>
      <c r="I978" s="152"/>
      <c r="J978" s="152"/>
      <c r="K978" s="152"/>
      <c r="L978" s="152"/>
      <c r="M978" s="152"/>
      <c r="N978" s="152"/>
      <c r="O978" s="152"/>
      <c r="P978" s="152"/>
      <c r="Q978" s="152"/>
      <c r="R978" s="152"/>
      <c r="S978" s="152"/>
      <c r="T978" s="152"/>
      <c r="U978" s="152"/>
      <c r="V978" s="152"/>
      <c r="W978" s="152"/>
      <c r="X978" s="152"/>
      <c r="Y978" s="152"/>
      <c r="Z978" s="152"/>
      <c r="AA978" s="152"/>
      <c r="AB978" s="152"/>
      <c r="AC978" s="152"/>
      <c r="AD978" s="152"/>
      <c r="AE978" s="152"/>
      <c r="AF978" s="152"/>
      <c r="AG978" s="152"/>
      <c r="AH978" s="152"/>
      <c r="AI978" s="152"/>
      <c r="AJ978" s="152"/>
      <c r="AK978" s="152"/>
      <c r="AL978" s="152"/>
      <c r="AM978" s="152"/>
    </row>
    <row r="979">
      <c r="A979" s="152"/>
      <c r="B979" s="152"/>
      <c r="C979" s="152"/>
      <c r="D979" s="152"/>
      <c r="E979" s="152"/>
      <c r="F979" s="152"/>
      <c r="G979" s="152"/>
      <c r="H979" s="152"/>
      <c r="I979" s="152"/>
      <c r="J979" s="152"/>
      <c r="K979" s="152"/>
      <c r="L979" s="152"/>
      <c r="M979" s="152"/>
      <c r="N979" s="152"/>
      <c r="O979" s="152"/>
      <c r="P979" s="152"/>
      <c r="Q979" s="152"/>
      <c r="R979" s="152"/>
      <c r="S979" s="152"/>
      <c r="T979" s="152"/>
      <c r="U979" s="152"/>
      <c r="V979" s="152"/>
      <c r="W979" s="152"/>
      <c r="X979" s="152"/>
      <c r="Y979" s="152"/>
      <c r="Z979" s="152"/>
      <c r="AA979" s="152"/>
      <c r="AB979" s="152"/>
      <c r="AC979" s="152"/>
      <c r="AD979" s="152"/>
      <c r="AE979" s="152"/>
      <c r="AF979" s="152"/>
      <c r="AG979" s="152"/>
      <c r="AH979" s="152"/>
      <c r="AI979" s="152"/>
      <c r="AJ979" s="152"/>
      <c r="AK979" s="152"/>
      <c r="AL979" s="152"/>
      <c r="AM979" s="152"/>
    </row>
    <row r="980">
      <c r="A980" s="152"/>
      <c r="B980" s="152"/>
      <c r="C980" s="152"/>
      <c r="D980" s="152"/>
      <c r="E980" s="152"/>
      <c r="F980" s="152"/>
      <c r="G980" s="152"/>
      <c r="H980" s="152"/>
      <c r="I980" s="152"/>
      <c r="J980" s="152"/>
      <c r="K980" s="152"/>
      <c r="L980" s="152"/>
      <c r="M980" s="152"/>
      <c r="N980" s="152"/>
      <c r="O980" s="152"/>
      <c r="P980" s="152"/>
      <c r="Q980" s="152"/>
      <c r="R980" s="152"/>
      <c r="S980" s="152"/>
      <c r="T980" s="152"/>
      <c r="U980" s="152"/>
      <c r="V980" s="152"/>
      <c r="W980" s="152"/>
      <c r="X980" s="152"/>
      <c r="Y980" s="152"/>
      <c r="Z980" s="152"/>
      <c r="AA980" s="152"/>
      <c r="AB980" s="152"/>
      <c r="AC980" s="152"/>
      <c r="AD980" s="152"/>
      <c r="AE980" s="152"/>
      <c r="AF980" s="152"/>
      <c r="AG980" s="152"/>
      <c r="AH980" s="152"/>
      <c r="AI980" s="152"/>
      <c r="AJ980" s="152"/>
      <c r="AK980" s="152"/>
      <c r="AL980" s="152"/>
      <c r="AM980" s="152"/>
    </row>
    <row r="981">
      <c r="A981" s="152"/>
      <c r="B981" s="152"/>
      <c r="C981" s="152"/>
      <c r="D981" s="152"/>
      <c r="E981" s="152"/>
      <c r="F981" s="152"/>
      <c r="G981" s="152"/>
      <c r="H981" s="152"/>
      <c r="I981" s="152"/>
      <c r="J981" s="152"/>
      <c r="K981" s="152"/>
      <c r="L981" s="152"/>
      <c r="M981" s="152"/>
      <c r="N981" s="152"/>
      <c r="O981" s="152"/>
      <c r="P981" s="152"/>
      <c r="Q981" s="152"/>
      <c r="R981" s="152"/>
      <c r="S981" s="152"/>
      <c r="T981" s="152"/>
      <c r="U981" s="152"/>
      <c r="V981" s="152"/>
      <c r="W981" s="152"/>
      <c r="X981" s="152"/>
      <c r="Y981" s="152"/>
      <c r="Z981" s="152"/>
      <c r="AA981" s="152"/>
      <c r="AB981" s="152"/>
      <c r="AC981" s="152"/>
      <c r="AD981" s="152"/>
      <c r="AE981" s="152"/>
      <c r="AF981" s="152"/>
      <c r="AG981" s="152"/>
      <c r="AH981" s="152"/>
      <c r="AI981" s="152"/>
      <c r="AJ981" s="152"/>
      <c r="AK981" s="152"/>
      <c r="AL981" s="152"/>
      <c r="AM981" s="152"/>
    </row>
    <row r="982">
      <c r="A982" s="152"/>
      <c r="B982" s="152"/>
      <c r="C982" s="152"/>
      <c r="D982" s="152"/>
      <c r="E982" s="152"/>
      <c r="F982" s="152"/>
      <c r="G982" s="152"/>
      <c r="H982" s="152"/>
      <c r="I982" s="152"/>
      <c r="J982" s="152"/>
      <c r="K982" s="152"/>
      <c r="L982" s="152"/>
      <c r="M982" s="152"/>
      <c r="N982" s="152"/>
      <c r="O982" s="152"/>
      <c r="P982" s="152"/>
      <c r="Q982" s="152"/>
      <c r="R982" s="152"/>
      <c r="S982" s="152"/>
      <c r="T982" s="152"/>
      <c r="U982" s="152"/>
      <c r="V982" s="152"/>
      <c r="W982" s="152"/>
      <c r="X982" s="152"/>
      <c r="Y982" s="152"/>
      <c r="Z982" s="152"/>
      <c r="AA982" s="152"/>
      <c r="AB982" s="152"/>
      <c r="AC982" s="152"/>
      <c r="AD982" s="152"/>
      <c r="AE982" s="152"/>
      <c r="AF982" s="152"/>
      <c r="AG982" s="152"/>
      <c r="AH982" s="152"/>
      <c r="AI982" s="152"/>
      <c r="AJ982" s="152"/>
      <c r="AK982" s="152"/>
      <c r="AL982" s="152"/>
      <c r="AM982" s="152"/>
    </row>
    <row r="983">
      <c r="A983" s="152"/>
      <c r="B983" s="152"/>
      <c r="C983" s="152"/>
      <c r="D983" s="152"/>
      <c r="E983" s="152"/>
      <c r="F983" s="152"/>
      <c r="G983" s="152"/>
      <c r="H983" s="152"/>
      <c r="I983" s="152"/>
      <c r="J983" s="152"/>
      <c r="K983" s="152"/>
      <c r="L983" s="152"/>
      <c r="M983" s="152"/>
      <c r="N983" s="152"/>
      <c r="O983" s="152"/>
      <c r="P983" s="152"/>
      <c r="Q983" s="152"/>
      <c r="R983" s="152"/>
      <c r="S983" s="152"/>
      <c r="T983" s="152"/>
      <c r="U983" s="152"/>
      <c r="V983" s="152"/>
      <c r="W983" s="152"/>
      <c r="X983" s="152"/>
      <c r="Y983" s="152"/>
      <c r="Z983" s="152"/>
      <c r="AA983" s="152"/>
      <c r="AB983" s="152"/>
      <c r="AC983" s="152"/>
      <c r="AD983" s="152"/>
      <c r="AE983" s="152"/>
      <c r="AF983" s="152"/>
      <c r="AG983" s="152"/>
      <c r="AH983" s="152"/>
      <c r="AI983" s="152"/>
      <c r="AJ983" s="152"/>
      <c r="AK983" s="152"/>
      <c r="AL983" s="152"/>
      <c r="AM983" s="152"/>
    </row>
    <row r="984">
      <c r="A984" s="152"/>
      <c r="B984" s="152"/>
      <c r="C984" s="152"/>
      <c r="D984" s="152"/>
      <c r="E984" s="152"/>
      <c r="F984" s="152"/>
      <c r="G984" s="152"/>
      <c r="H984" s="152"/>
      <c r="I984" s="152"/>
      <c r="J984" s="152"/>
      <c r="K984" s="152"/>
      <c r="L984" s="152"/>
      <c r="M984" s="152"/>
      <c r="N984" s="152"/>
      <c r="O984" s="152"/>
      <c r="P984" s="152"/>
      <c r="Q984" s="152"/>
      <c r="R984" s="152"/>
      <c r="S984" s="152"/>
      <c r="T984" s="152"/>
      <c r="U984" s="152"/>
      <c r="V984" s="152"/>
      <c r="W984" s="152"/>
      <c r="X984" s="152"/>
      <c r="Y984" s="152"/>
      <c r="Z984" s="152"/>
      <c r="AA984" s="152"/>
      <c r="AB984" s="152"/>
      <c r="AC984" s="152"/>
      <c r="AD984" s="152"/>
      <c r="AE984" s="152"/>
      <c r="AF984" s="152"/>
      <c r="AG984" s="152"/>
      <c r="AH984" s="152"/>
      <c r="AI984" s="152"/>
      <c r="AJ984" s="152"/>
      <c r="AK984" s="152"/>
      <c r="AL984" s="152"/>
      <c r="AM984" s="152"/>
    </row>
    <row r="985">
      <c r="A985" s="152"/>
      <c r="B985" s="152"/>
      <c r="C985" s="152"/>
      <c r="D985" s="152"/>
      <c r="E985" s="152"/>
      <c r="F985" s="152"/>
      <c r="G985" s="152"/>
      <c r="H985" s="152"/>
      <c r="I985" s="152"/>
      <c r="J985" s="152"/>
      <c r="K985" s="152"/>
      <c r="L985" s="152"/>
      <c r="M985" s="152"/>
      <c r="N985" s="152"/>
      <c r="O985" s="152"/>
      <c r="P985" s="152"/>
      <c r="Q985" s="152"/>
      <c r="R985" s="152"/>
      <c r="S985" s="152"/>
      <c r="T985" s="152"/>
      <c r="U985" s="152"/>
      <c r="V985" s="152"/>
      <c r="W985" s="152"/>
      <c r="X985" s="152"/>
      <c r="Y985" s="152"/>
      <c r="Z985" s="152"/>
      <c r="AA985" s="152"/>
      <c r="AB985" s="152"/>
      <c r="AC985" s="152"/>
      <c r="AD985" s="152"/>
      <c r="AE985" s="152"/>
      <c r="AF985" s="152"/>
      <c r="AG985" s="152"/>
      <c r="AH985" s="152"/>
      <c r="AI985" s="152"/>
      <c r="AJ985" s="152"/>
      <c r="AK985" s="152"/>
      <c r="AL985" s="152"/>
      <c r="AM985" s="152"/>
    </row>
    <row r="986">
      <c r="A986" s="152"/>
      <c r="B986" s="152"/>
      <c r="C986" s="152"/>
      <c r="D986" s="152"/>
      <c r="E986" s="152"/>
      <c r="F986" s="152"/>
      <c r="G986" s="152"/>
      <c r="H986" s="152"/>
      <c r="I986" s="152"/>
      <c r="J986" s="152"/>
      <c r="K986" s="152"/>
      <c r="L986" s="152"/>
      <c r="M986" s="152"/>
      <c r="N986" s="152"/>
      <c r="O986" s="152"/>
      <c r="P986" s="152"/>
      <c r="Q986" s="152"/>
      <c r="R986" s="152"/>
      <c r="S986" s="152"/>
      <c r="T986" s="152"/>
      <c r="U986" s="152"/>
      <c r="V986" s="152"/>
      <c r="W986" s="152"/>
      <c r="X986" s="152"/>
      <c r="Y986" s="152"/>
      <c r="Z986" s="152"/>
      <c r="AA986" s="152"/>
      <c r="AB986" s="152"/>
      <c r="AC986" s="152"/>
      <c r="AD986" s="152"/>
      <c r="AE986" s="152"/>
      <c r="AF986" s="152"/>
      <c r="AG986" s="152"/>
      <c r="AH986" s="152"/>
      <c r="AI986" s="152"/>
      <c r="AJ986" s="152"/>
      <c r="AK986" s="152"/>
      <c r="AL986" s="152"/>
      <c r="AM986" s="152"/>
    </row>
    <row r="987">
      <c r="A987" s="152"/>
      <c r="B987" s="152"/>
      <c r="C987" s="152"/>
      <c r="D987" s="152"/>
      <c r="E987" s="152"/>
      <c r="F987" s="152"/>
      <c r="G987" s="152"/>
      <c r="H987" s="152"/>
      <c r="I987" s="152"/>
      <c r="J987" s="152"/>
      <c r="K987" s="152"/>
      <c r="L987" s="152"/>
      <c r="M987" s="152"/>
      <c r="N987" s="152"/>
      <c r="O987" s="152"/>
      <c r="P987" s="152"/>
      <c r="Q987" s="152"/>
      <c r="R987" s="152"/>
      <c r="S987" s="152"/>
      <c r="T987" s="152"/>
      <c r="U987" s="152"/>
      <c r="V987" s="152"/>
      <c r="W987" s="152"/>
      <c r="X987" s="152"/>
      <c r="Y987" s="152"/>
      <c r="Z987" s="152"/>
      <c r="AA987" s="152"/>
      <c r="AB987" s="152"/>
      <c r="AC987" s="152"/>
      <c r="AD987" s="152"/>
      <c r="AE987" s="152"/>
      <c r="AF987" s="152"/>
      <c r="AG987" s="152"/>
      <c r="AH987" s="152"/>
      <c r="AI987" s="152"/>
      <c r="AJ987" s="152"/>
      <c r="AK987" s="152"/>
      <c r="AL987" s="152"/>
      <c r="AM987" s="152"/>
    </row>
    <row r="988">
      <c r="A988" s="152"/>
      <c r="B988" s="152"/>
      <c r="C988" s="152"/>
      <c r="D988" s="152"/>
      <c r="E988" s="152"/>
      <c r="F988" s="152"/>
      <c r="G988" s="152"/>
      <c r="H988" s="152"/>
      <c r="I988" s="152"/>
      <c r="J988" s="152"/>
      <c r="K988" s="152"/>
      <c r="L988" s="152"/>
      <c r="M988" s="152"/>
      <c r="N988" s="152"/>
      <c r="O988" s="152"/>
      <c r="P988" s="152"/>
      <c r="Q988" s="152"/>
      <c r="R988" s="152"/>
      <c r="S988" s="152"/>
      <c r="T988" s="152"/>
      <c r="U988" s="152"/>
      <c r="V988" s="152"/>
      <c r="W988" s="152"/>
      <c r="X988" s="152"/>
      <c r="Y988" s="152"/>
      <c r="Z988" s="152"/>
      <c r="AA988" s="152"/>
      <c r="AB988" s="152"/>
      <c r="AC988" s="152"/>
      <c r="AD988" s="152"/>
      <c r="AE988" s="152"/>
      <c r="AF988" s="152"/>
      <c r="AG988" s="152"/>
      <c r="AH988" s="152"/>
      <c r="AI988" s="152"/>
      <c r="AJ988" s="152"/>
      <c r="AK988" s="152"/>
      <c r="AL988" s="152"/>
      <c r="AM988" s="152"/>
    </row>
    <row r="989">
      <c r="A989" s="152"/>
      <c r="B989" s="152"/>
      <c r="C989" s="152"/>
      <c r="D989" s="152"/>
      <c r="E989" s="152"/>
      <c r="F989" s="152"/>
      <c r="G989" s="152"/>
      <c r="H989" s="152"/>
      <c r="I989" s="152"/>
      <c r="J989" s="152"/>
      <c r="K989" s="152"/>
      <c r="L989" s="152"/>
      <c r="M989" s="152"/>
      <c r="N989" s="152"/>
      <c r="O989" s="152"/>
      <c r="P989" s="152"/>
      <c r="Q989" s="152"/>
      <c r="R989" s="152"/>
      <c r="S989" s="152"/>
      <c r="T989" s="152"/>
      <c r="U989" s="152"/>
      <c r="V989" s="152"/>
      <c r="W989" s="152"/>
      <c r="X989" s="152"/>
      <c r="Y989" s="152"/>
      <c r="Z989" s="152"/>
      <c r="AA989" s="152"/>
      <c r="AB989" s="152"/>
      <c r="AC989" s="152"/>
      <c r="AD989" s="152"/>
      <c r="AE989" s="152"/>
      <c r="AF989" s="152"/>
      <c r="AG989" s="152"/>
      <c r="AH989" s="152"/>
      <c r="AI989" s="152"/>
      <c r="AJ989" s="152"/>
      <c r="AK989" s="152"/>
      <c r="AL989" s="152"/>
      <c r="AM989" s="152"/>
    </row>
    <row r="990">
      <c r="A990" s="152"/>
      <c r="B990" s="152"/>
      <c r="C990" s="152"/>
      <c r="D990" s="152"/>
      <c r="E990" s="152"/>
      <c r="F990" s="152"/>
      <c r="G990" s="152"/>
      <c r="H990" s="152"/>
      <c r="I990" s="152"/>
      <c r="J990" s="152"/>
      <c r="K990" s="152"/>
      <c r="L990" s="152"/>
      <c r="M990" s="152"/>
      <c r="N990" s="152"/>
      <c r="O990" s="152"/>
      <c r="P990" s="152"/>
      <c r="Q990" s="152"/>
      <c r="R990" s="152"/>
      <c r="S990" s="152"/>
      <c r="T990" s="152"/>
      <c r="U990" s="152"/>
      <c r="V990" s="152"/>
      <c r="W990" s="152"/>
      <c r="X990" s="152"/>
      <c r="Y990" s="152"/>
      <c r="Z990" s="152"/>
      <c r="AA990" s="152"/>
      <c r="AB990" s="152"/>
      <c r="AC990" s="152"/>
      <c r="AD990" s="152"/>
      <c r="AE990" s="152"/>
      <c r="AF990" s="152"/>
      <c r="AG990" s="152"/>
      <c r="AH990" s="152"/>
      <c r="AI990" s="152"/>
      <c r="AJ990" s="152"/>
      <c r="AK990" s="152"/>
      <c r="AL990" s="152"/>
      <c r="AM990" s="152"/>
    </row>
    <row r="991">
      <c r="A991" s="152"/>
      <c r="B991" s="152"/>
      <c r="C991" s="152"/>
      <c r="D991" s="152"/>
      <c r="E991" s="152"/>
      <c r="F991" s="152"/>
      <c r="G991" s="152"/>
      <c r="H991" s="152"/>
      <c r="I991" s="152"/>
      <c r="J991" s="152"/>
      <c r="K991" s="152"/>
      <c r="L991" s="152"/>
      <c r="M991" s="152"/>
      <c r="N991" s="152"/>
      <c r="O991" s="152"/>
      <c r="P991" s="152"/>
      <c r="Q991" s="152"/>
      <c r="R991" s="152"/>
      <c r="S991" s="152"/>
      <c r="T991" s="152"/>
      <c r="U991" s="152"/>
      <c r="V991" s="152"/>
      <c r="W991" s="152"/>
      <c r="X991" s="152"/>
      <c r="Y991" s="152"/>
      <c r="Z991" s="152"/>
      <c r="AA991" s="152"/>
      <c r="AB991" s="152"/>
      <c r="AC991" s="152"/>
      <c r="AD991" s="152"/>
      <c r="AE991" s="152"/>
      <c r="AF991" s="152"/>
      <c r="AG991" s="152"/>
      <c r="AH991" s="152"/>
      <c r="AI991" s="152"/>
      <c r="AJ991" s="152"/>
      <c r="AK991" s="152"/>
      <c r="AL991" s="152"/>
      <c r="AM991" s="152"/>
    </row>
    <row r="992">
      <c r="A992" s="152"/>
      <c r="B992" s="152"/>
      <c r="C992" s="152"/>
      <c r="D992" s="152"/>
      <c r="E992" s="152"/>
      <c r="F992" s="152"/>
      <c r="G992" s="152"/>
      <c r="H992" s="152"/>
      <c r="I992" s="152"/>
      <c r="J992" s="152"/>
      <c r="K992" s="152"/>
      <c r="L992" s="152"/>
      <c r="M992" s="152"/>
      <c r="N992" s="152"/>
      <c r="O992" s="152"/>
      <c r="P992" s="152"/>
      <c r="Q992" s="152"/>
      <c r="R992" s="152"/>
      <c r="S992" s="152"/>
      <c r="T992" s="152"/>
      <c r="U992" s="152"/>
      <c r="V992" s="152"/>
      <c r="W992" s="152"/>
      <c r="X992" s="152"/>
      <c r="Y992" s="152"/>
      <c r="Z992" s="152"/>
      <c r="AA992" s="152"/>
      <c r="AB992" s="152"/>
      <c r="AC992" s="152"/>
      <c r="AD992" s="152"/>
      <c r="AE992" s="152"/>
      <c r="AF992" s="152"/>
      <c r="AG992" s="152"/>
      <c r="AH992" s="152"/>
      <c r="AI992" s="152"/>
      <c r="AJ992" s="152"/>
      <c r="AK992" s="152"/>
      <c r="AL992" s="152"/>
      <c r="AM992" s="152"/>
    </row>
    <row r="993">
      <c r="A993" s="152"/>
      <c r="B993" s="152"/>
      <c r="C993" s="152"/>
      <c r="D993" s="152"/>
      <c r="E993" s="152"/>
      <c r="F993" s="152"/>
      <c r="G993" s="152"/>
      <c r="H993" s="152"/>
      <c r="I993" s="152"/>
      <c r="J993" s="152"/>
      <c r="K993" s="152"/>
      <c r="L993" s="152"/>
      <c r="M993" s="152"/>
      <c r="N993" s="152"/>
      <c r="O993" s="152"/>
      <c r="P993" s="152"/>
      <c r="Q993" s="152"/>
      <c r="R993" s="152"/>
      <c r="S993" s="152"/>
      <c r="T993" s="152"/>
      <c r="U993" s="152"/>
      <c r="V993" s="152"/>
      <c r="W993" s="152"/>
      <c r="X993" s="152"/>
      <c r="Y993" s="152"/>
      <c r="Z993" s="152"/>
      <c r="AA993" s="152"/>
      <c r="AB993" s="152"/>
      <c r="AC993" s="152"/>
      <c r="AD993" s="152"/>
      <c r="AE993" s="152"/>
      <c r="AF993" s="152"/>
      <c r="AG993" s="152"/>
      <c r="AH993" s="152"/>
      <c r="AI993" s="152"/>
      <c r="AJ993" s="152"/>
      <c r="AK993" s="152"/>
      <c r="AL993" s="152"/>
      <c r="AM993" s="152"/>
    </row>
    <row r="994">
      <c r="A994" s="152"/>
      <c r="B994" s="152"/>
      <c r="C994" s="152"/>
      <c r="D994" s="152"/>
      <c r="E994" s="152"/>
      <c r="F994" s="152"/>
      <c r="G994" s="152"/>
      <c r="H994" s="152"/>
      <c r="I994" s="152"/>
      <c r="J994" s="152"/>
      <c r="K994" s="152"/>
      <c r="L994" s="152"/>
      <c r="M994" s="152"/>
      <c r="N994" s="152"/>
      <c r="O994" s="152"/>
      <c r="P994" s="152"/>
      <c r="Q994" s="152"/>
      <c r="R994" s="152"/>
      <c r="S994" s="152"/>
      <c r="T994" s="152"/>
      <c r="U994" s="152"/>
      <c r="V994" s="152"/>
      <c r="W994" s="152"/>
      <c r="X994" s="152"/>
      <c r="Y994" s="152"/>
      <c r="Z994" s="152"/>
      <c r="AA994" s="152"/>
      <c r="AB994" s="152"/>
      <c r="AC994" s="152"/>
      <c r="AD994" s="152"/>
      <c r="AE994" s="152"/>
      <c r="AF994" s="152"/>
      <c r="AG994" s="152"/>
      <c r="AH994" s="152"/>
      <c r="AI994" s="152"/>
      <c r="AJ994" s="152"/>
      <c r="AK994" s="152"/>
      <c r="AL994" s="152"/>
      <c r="AM994" s="152"/>
    </row>
    <row r="995">
      <c r="A995" s="152"/>
      <c r="B995" s="152"/>
      <c r="C995" s="152"/>
      <c r="D995" s="152"/>
      <c r="E995" s="152"/>
      <c r="F995" s="152"/>
      <c r="G995" s="152"/>
      <c r="H995" s="152"/>
      <c r="I995" s="152"/>
      <c r="J995" s="152"/>
      <c r="K995" s="152"/>
      <c r="L995" s="152"/>
      <c r="M995" s="152"/>
      <c r="N995" s="152"/>
      <c r="O995" s="152"/>
      <c r="P995" s="152"/>
      <c r="Q995" s="152"/>
      <c r="R995" s="152"/>
      <c r="S995" s="152"/>
      <c r="T995" s="152"/>
      <c r="U995" s="152"/>
      <c r="V995" s="152"/>
      <c r="W995" s="152"/>
      <c r="X995" s="152"/>
      <c r="Y995" s="152"/>
      <c r="Z995" s="152"/>
      <c r="AA995" s="152"/>
      <c r="AB995" s="152"/>
      <c r="AC995" s="152"/>
      <c r="AD995" s="152"/>
      <c r="AE995" s="152"/>
      <c r="AF995" s="152"/>
      <c r="AG995" s="152"/>
      <c r="AH995" s="152"/>
      <c r="AI995" s="152"/>
      <c r="AJ995" s="152"/>
      <c r="AK995" s="152"/>
      <c r="AL995" s="152"/>
      <c r="AM995" s="152"/>
    </row>
    <row r="996">
      <c r="A996" s="152"/>
      <c r="B996" s="152"/>
      <c r="C996" s="152"/>
      <c r="D996" s="152"/>
      <c r="E996" s="152"/>
      <c r="F996" s="152"/>
      <c r="G996" s="152"/>
      <c r="H996" s="152"/>
      <c r="I996" s="152"/>
      <c r="J996" s="152"/>
      <c r="K996" s="152"/>
      <c r="L996" s="152"/>
      <c r="M996" s="152"/>
      <c r="N996" s="152"/>
      <c r="O996" s="152"/>
      <c r="P996" s="152"/>
      <c r="Q996" s="152"/>
      <c r="R996" s="152"/>
      <c r="S996" s="152"/>
      <c r="T996" s="152"/>
      <c r="U996" s="152"/>
      <c r="V996" s="152"/>
      <c r="W996" s="152"/>
      <c r="X996" s="152"/>
      <c r="Y996" s="152"/>
      <c r="Z996" s="152"/>
      <c r="AA996" s="152"/>
      <c r="AB996" s="152"/>
      <c r="AC996" s="152"/>
      <c r="AD996" s="152"/>
      <c r="AE996" s="152"/>
      <c r="AF996" s="152"/>
      <c r="AG996" s="152"/>
      <c r="AH996" s="152"/>
      <c r="AI996" s="152"/>
      <c r="AJ996" s="152"/>
      <c r="AK996" s="152"/>
      <c r="AL996" s="152"/>
      <c r="AM996" s="152"/>
    </row>
    <row r="997">
      <c r="A997" s="152"/>
      <c r="B997" s="152"/>
      <c r="C997" s="152"/>
      <c r="D997" s="152"/>
      <c r="E997" s="152"/>
      <c r="F997" s="152"/>
      <c r="G997" s="152"/>
      <c r="H997" s="152"/>
      <c r="I997" s="152"/>
      <c r="J997" s="152"/>
      <c r="K997" s="152"/>
      <c r="L997" s="152"/>
      <c r="M997" s="152"/>
      <c r="N997" s="152"/>
      <c r="O997" s="152"/>
      <c r="P997" s="152"/>
      <c r="Q997" s="152"/>
      <c r="R997" s="152"/>
      <c r="S997" s="152"/>
      <c r="T997" s="152"/>
      <c r="U997" s="152"/>
      <c r="V997" s="152"/>
      <c r="W997" s="152"/>
      <c r="X997" s="152"/>
      <c r="Y997" s="152"/>
      <c r="Z997" s="152"/>
      <c r="AA997" s="152"/>
      <c r="AB997" s="152"/>
      <c r="AC997" s="152"/>
      <c r="AD997" s="152"/>
      <c r="AE997" s="152"/>
      <c r="AF997" s="152"/>
      <c r="AG997" s="152"/>
      <c r="AH997" s="152"/>
      <c r="AI997" s="152"/>
      <c r="AJ997" s="152"/>
      <c r="AK997" s="152"/>
      <c r="AL997" s="152"/>
      <c r="AM997" s="152"/>
    </row>
    <row r="998">
      <c r="A998" s="152"/>
      <c r="B998" s="152"/>
      <c r="C998" s="152"/>
      <c r="D998" s="152"/>
      <c r="E998" s="152"/>
      <c r="F998" s="152"/>
      <c r="G998" s="152"/>
      <c r="H998" s="152"/>
      <c r="I998" s="152"/>
      <c r="J998" s="152"/>
      <c r="K998" s="152"/>
      <c r="L998" s="152"/>
      <c r="M998" s="152"/>
      <c r="N998" s="152"/>
      <c r="O998" s="152"/>
      <c r="P998" s="152"/>
      <c r="Q998" s="152"/>
      <c r="R998" s="152"/>
      <c r="S998" s="152"/>
      <c r="T998" s="152"/>
      <c r="U998" s="152"/>
      <c r="V998" s="152"/>
      <c r="W998" s="152"/>
      <c r="X998" s="152"/>
      <c r="Y998" s="152"/>
      <c r="Z998" s="152"/>
      <c r="AA998" s="152"/>
      <c r="AB998" s="152"/>
      <c r="AC998" s="152"/>
      <c r="AD998" s="152"/>
      <c r="AE998" s="152"/>
      <c r="AF998" s="152"/>
      <c r="AG998" s="152"/>
      <c r="AH998" s="152"/>
      <c r="AI998" s="152"/>
      <c r="AJ998" s="152"/>
      <c r="AK998" s="152"/>
      <c r="AL998" s="152"/>
      <c r="AM998" s="152"/>
    </row>
    <row r="999">
      <c r="A999" s="152"/>
      <c r="B999" s="152"/>
      <c r="C999" s="152"/>
      <c r="D999" s="152"/>
      <c r="E999" s="152"/>
      <c r="F999" s="152"/>
      <c r="G999" s="152"/>
      <c r="H999" s="152"/>
      <c r="I999" s="152"/>
      <c r="J999" s="152"/>
      <c r="K999" s="152"/>
      <c r="L999" s="152"/>
      <c r="M999" s="152"/>
      <c r="N999" s="152"/>
      <c r="O999" s="152"/>
      <c r="P999" s="152"/>
      <c r="Q999" s="152"/>
      <c r="R999" s="152"/>
      <c r="S999" s="152"/>
      <c r="T999" s="152"/>
      <c r="U999" s="152"/>
      <c r="V999" s="152"/>
      <c r="W999" s="152"/>
      <c r="X999" s="152"/>
      <c r="Y999" s="152"/>
      <c r="Z999" s="152"/>
      <c r="AA999" s="152"/>
      <c r="AB999" s="152"/>
      <c r="AC999" s="152"/>
      <c r="AD999" s="152"/>
      <c r="AE999" s="152"/>
      <c r="AF999" s="152"/>
      <c r="AG999" s="152"/>
      <c r="AH999" s="152"/>
      <c r="AI999" s="152"/>
      <c r="AJ999" s="152"/>
      <c r="AK999" s="152"/>
      <c r="AL999" s="152"/>
      <c r="AM999" s="152"/>
    </row>
    <row r="1000">
      <c r="A1000" s="152"/>
      <c r="B1000" s="152"/>
      <c r="C1000" s="152"/>
      <c r="D1000" s="152"/>
      <c r="E1000" s="152"/>
      <c r="F1000" s="152"/>
      <c r="G1000" s="152"/>
      <c r="H1000" s="152"/>
      <c r="I1000" s="152"/>
      <c r="J1000" s="152"/>
      <c r="K1000" s="152"/>
      <c r="L1000" s="152"/>
      <c r="M1000" s="152"/>
      <c r="N1000" s="152"/>
      <c r="O1000" s="152"/>
      <c r="P1000" s="152"/>
      <c r="Q1000" s="152"/>
      <c r="R1000" s="152"/>
      <c r="S1000" s="152"/>
      <c r="T1000" s="152"/>
      <c r="U1000" s="152"/>
      <c r="V1000" s="152"/>
      <c r="W1000" s="152"/>
      <c r="X1000" s="152"/>
      <c r="Y1000" s="152"/>
      <c r="Z1000" s="152"/>
      <c r="AA1000" s="152"/>
      <c r="AB1000" s="152"/>
      <c r="AC1000" s="152"/>
      <c r="AD1000" s="152"/>
      <c r="AE1000" s="152"/>
      <c r="AF1000" s="152"/>
      <c r="AG1000" s="152"/>
      <c r="AH1000" s="152"/>
      <c r="AI1000" s="152"/>
      <c r="AJ1000" s="152"/>
      <c r="AK1000" s="152"/>
      <c r="AL1000" s="152"/>
      <c r="AM1000" s="152"/>
    </row>
  </sheetData>
  <mergeCells count="15">
    <mergeCell ref="A31:A33"/>
    <mergeCell ref="A35:A37"/>
    <mergeCell ref="A39:A41"/>
    <mergeCell ref="A43:A45"/>
    <mergeCell ref="A47:A49"/>
    <mergeCell ref="A51:A53"/>
    <mergeCell ref="A55:A57"/>
    <mergeCell ref="A59:A61"/>
    <mergeCell ref="A3:A5"/>
    <mergeCell ref="A7:A9"/>
    <mergeCell ref="A11:A13"/>
    <mergeCell ref="A15:A17"/>
    <mergeCell ref="A19:A21"/>
    <mergeCell ref="A23:A25"/>
    <mergeCell ref="A27:A29"/>
  </mergeCells>
  <conditionalFormatting sqref="A3:AH3 AI3:AI4 AJ3:AM3 A7:AH7 AI7:AI8 AJ7:AM7 A11:AH11 AI11:AI12 AJ11:AM11 A15:AH15 AI15:AI16 AJ15:AM15 A19:AH19 AI19:AI20 AJ19:AM19 A23:AH23 AI23:AI24 AJ23:AM23 A27:AH27 AI27:AI28 AJ27:AM27 A31:AH31 AI31:AI32 AJ31:AM31 A35:AH35 AI35:AI36 AJ35:AM35 A39:AH39 AI39:AI40 AJ39:AM39 A43:AH43 AI43:AI44 AJ43:AM43 A47:AH47 AI47:AI48 AJ47:AM47 A51:AH51 AI51:AI52 AJ51:AM51 A55:AH55 AI55:AI56 AJ55:AM55 A59:AH59 AI59:AI60 AJ59:AM59">
    <cfRule type="cellIs" dxfId="0" priority="1" operator="greaterThanOrEqual">
      <formula>20</formula>
    </cfRule>
  </conditionalFormatting>
  <conditionalFormatting sqref="A5:AM5 B9:AM9 B13:AM13 B17:AM17 B21:AM21 B25:AM25 B29:AM29 B33:AM33 B37:AM37 B41:AM41 B45:AM45 B49:AM49 B53:AM53 B57:AM57 B61:AM61">
    <cfRule type="cellIs" dxfId="0" priority="2" operator="greaterThanOrEqual">
      <formula>"10%"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2.0"/>
    <col customWidth="1" min="7" max="7" width="26.63"/>
  </cols>
  <sheetData>
    <row r="1">
      <c r="A1" s="164">
        <v>45857.0</v>
      </c>
      <c r="B1" s="68" t="s">
        <v>66</v>
      </c>
      <c r="C1" s="68">
        <v>24.0</v>
      </c>
      <c r="D1" s="68">
        <v>11.0</v>
      </c>
      <c r="E1" s="68" t="s">
        <v>67</v>
      </c>
      <c r="F1" s="165">
        <v>0.7513888888888889</v>
      </c>
      <c r="G1" s="68" t="s">
        <v>68</v>
      </c>
      <c r="H1" s="166">
        <v>1.0152777777777777</v>
      </c>
    </row>
    <row r="2">
      <c r="A2" s="167">
        <v>45857.0</v>
      </c>
      <c r="B2" s="168" t="s">
        <v>16</v>
      </c>
      <c r="C2" s="168">
        <v>9.0</v>
      </c>
      <c r="D2" s="168">
        <v>3.0</v>
      </c>
      <c r="E2" s="168" t="s">
        <v>69</v>
      </c>
      <c r="F2" s="169">
        <v>0.9340277777777778</v>
      </c>
      <c r="G2" s="168" t="s">
        <v>70</v>
      </c>
      <c r="H2" s="170">
        <v>1.0180555555555555</v>
      </c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</row>
    <row r="3">
      <c r="A3" s="164">
        <v>45857.0</v>
      </c>
      <c r="B3" s="68" t="s">
        <v>3</v>
      </c>
      <c r="C3" s="68">
        <v>14.0</v>
      </c>
      <c r="D3" s="68">
        <v>7.0</v>
      </c>
      <c r="E3" s="68" t="s">
        <v>71</v>
      </c>
      <c r="F3" s="165">
        <v>0.9298611111111111</v>
      </c>
      <c r="G3" s="172" t="s">
        <v>72</v>
      </c>
      <c r="H3" s="166">
        <v>1.0222222222222221</v>
      </c>
      <c r="K3" s="173"/>
      <c r="L3" s="174"/>
      <c r="M3" s="175"/>
      <c r="N3" s="175"/>
      <c r="O3" s="176"/>
      <c r="P3" s="177"/>
      <c r="Q3" s="176"/>
      <c r="R3" s="178"/>
    </row>
    <row r="4">
      <c r="A4" s="164">
        <v>45857.0</v>
      </c>
      <c r="B4" s="68" t="s">
        <v>26</v>
      </c>
      <c r="C4" s="68">
        <v>31.0</v>
      </c>
      <c r="D4" s="68">
        <v>5.0</v>
      </c>
      <c r="E4" s="68" t="s">
        <v>73</v>
      </c>
      <c r="F4" s="165">
        <v>0.8201388888888889</v>
      </c>
      <c r="G4" s="172" t="s">
        <v>74</v>
      </c>
      <c r="H4" s="166">
        <v>1.0222222222222221</v>
      </c>
      <c r="K4" s="173"/>
      <c r="L4" s="174"/>
      <c r="M4" s="175"/>
      <c r="N4" s="175"/>
      <c r="O4" s="176"/>
      <c r="P4" s="177"/>
      <c r="Q4" s="176"/>
      <c r="R4" s="178"/>
    </row>
    <row r="5">
      <c r="A5" s="164">
        <v>45857.0</v>
      </c>
      <c r="B5" s="68" t="s">
        <v>75</v>
      </c>
      <c r="C5" s="68">
        <v>86.0</v>
      </c>
      <c r="D5" s="68">
        <v>11.0</v>
      </c>
      <c r="E5" s="68" t="s">
        <v>76</v>
      </c>
      <c r="F5" s="165">
        <v>0.73125</v>
      </c>
      <c r="G5" s="172" t="s">
        <v>77</v>
      </c>
      <c r="H5" s="165">
        <v>0.8631944444444445</v>
      </c>
      <c r="K5" s="173"/>
      <c r="L5" s="174"/>
      <c r="M5" s="175"/>
      <c r="N5" s="175"/>
      <c r="O5" s="176"/>
      <c r="P5" s="177"/>
      <c r="Q5" s="176"/>
      <c r="R5" s="178"/>
    </row>
    <row r="6">
      <c r="A6" s="164">
        <v>45857.0</v>
      </c>
      <c r="B6" s="68" t="s">
        <v>21</v>
      </c>
      <c r="C6" s="68">
        <v>27.0</v>
      </c>
      <c r="D6" s="68">
        <v>4.0</v>
      </c>
      <c r="E6" s="68" t="s">
        <v>78</v>
      </c>
      <c r="F6" s="165">
        <v>0.8451388888888889</v>
      </c>
      <c r="G6" s="172" t="s">
        <v>79</v>
      </c>
      <c r="H6" s="165">
        <v>0.9486111111111111</v>
      </c>
      <c r="K6" s="173"/>
      <c r="L6" s="174"/>
      <c r="M6" s="175"/>
      <c r="N6" s="175"/>
      <c r="O6" s="176"/>
      <c r="P6" s="177"/>
      <c r="Q6" s="176"/>
      <c r="R6" s="177"/>
    </row>
    <row r="7">
      <c r="A7" s="164">
        <v>45857.0</v>
      </c>
      <c r="B7" s="68" t="s">
        <v>11</v>
      </c>
      <c r="C7" s="68">
        <v>13.0</v>
      </c>
      <c r="D7" s="68">
        <v>20.0</v>
      </c>
      <c r="E7" s="68" t="s">
        <v>80</v>
      </c>
      <c r="F7" s="165">
        <v>0.9618055555555556</v>
      </c>
      <c r="G7" s="172" t="s">
        <v>81</v>
      </c>
      <c r="H7" s="165">
        <v>0.9611111111111111</v>
      </c>
      <c r="K7" s="173"/>
      <c r="L7" s="174"/>
      <c r="M7" s="175"/>
      <c r="N7" s="175"/>
      <c r="O7" s="176"/>
      <c r="P7" s="177"/>
      <c r="Q7" s="176"/>
      <c r="R7" s="178"/>
    </row>
    <row r="8">
      <c r="A8" s="164">
        <v>45857.0</v>
      </c>
      <c r="B8" s="68" t="s">
        <v>8</v>
      </c>
      <c r="C8" s="68">
        <v>39.0</v>
      </c>
      <c r="D8" s="68">
        <v>11.0</v>
      </c>
      <c r="E8" s="68" t="s">
        <v>82</v>
      </c>
      <c r="F8" s="165">
        <v>0.8152777777777778</v>
      </c>
      <c r="G8" s="172" t="s">
        <v>83</v>
      </c>
      <c r="H8" s="165">
        <v>0.9305555555555556</v>
      </c>
      <c r="K8" s="173"/>
      <c r="L8" s="174"/>
      <c r="M8" s="175"/>
      <c r="N8" s="175"/>
      <c r="O8" s="176"/>
      <c r="P8" s="177"/>
      <c r="Q8" s="176"/>
      <c r="R8" s="177"/>
    </row>
    <row r="9">
      <c r="A9" s="164">
        <v>45857.0</v>
      </c>
      <c r="B9" s="68" t="s">
        <v>4</v>
      </c>
      <c r="C9" s="68">
        <v>777.0</v>
      </c>
      <c r="D9" s="68">
        <v>94.0</v>
      </c>
      <c r="E9" s="68" t="s">
        <v>84</v>
      </c>
      <c r="F9" s="165">
        <v>0.6972222222222222</v>
      </c>
      <c r="G9" s="172" t="s">
        <v>85</v>
      </c>
      <c r="H9" s="165">
        <v>0.7652777777777777</v>
      </c>
      <c r="K9" s="173"/>
      <c r="L9" s="174"/>
      <c r="M9" s="175"/>
      <c r="N9" s="175"/>
      <c r="O9" s="176"/>
      <c r="P9" s="177"/>
      <c r="Q9" s="176"/>
      <c r="R9" s="177"/>
    </row>
    <row r="10">
      <c r="A10" s="164">
        <v>45857.0</v>
      </c>
      <c r="B10" s="68" t="s">
        <v>5</v>
      </c>
      <c r="C10" s="68">
        <v>26.0</v>
      </c>
      <c r="D10" s="68">
        <v>17.0</v>
      </c>
      <c r="E10" s="68" t="s">
        <v>86</v>
      </c>
      <c r="F10" s="165">
        <v>0.7201388888888889</v>
      </c>
      <c r="G10" s="172" t="s">
        <v>87</v>
      </c>
      <c r="H10" s="165">
        <v>0.9013888888888889</v>
      </c>
      <c r="K10" s="173"/>
      <c r="L10" s="174"/>
      <c r="M10" s="175"/>
      <c r="N10" s="175"/>
      <c r="O10" s="176"/>
      <c r="P10" s="177"/>
      <c r="Q10" s="176"/>
      <c r="R10" s="178"/>
    </row>
    <row r="11">
      <c r="A11" s="164">
        <v>45857.0</v>
      </c>
      <c r="B11" s="68" t="s">
        <v>88</v>
      </c>
      <c r="C11" s="68">
        <v>9.0</v>
      </c>
      <c r="D11" s="68">
        <v>6.0</v>
      </c>
      <c r="E11" s="68" t="s">
        <v>89</v>
      </c>
      <c r="F11" s="165">
        <v>0.9034722222222222</v>
      </c>
      <c r="G11" s="172"/>
      <c r="H11" s="68" t="s">
        <v>90</v>
      </c>
      <c r="K11" s="173"/>
      <c r="L11" s="174"/>
      <c r="M11" s="175"/>
      <c r="N11" s="175"/>
      <c r="O11" s="176"/>
      <c r="P11" s="177"/>
      <c r="Q11" s="176"/>
      <c r="R11" s="178"/>
    </row>
    <row r="12">
      <c r="A12" s="164">
        <v>45857.0</v>
      </c>
      <c r="B12" s="68" t="s">
        <v>91</v>
      </c>
      <c r="C12" s="68">
        <v>16.0</v>
      </c>
      <c r="D12" s="68">
        <v>10.0</v>
      </c>
      <c r="E12" s="68" t="s">
        <v>92</v>
      </c>
      <c r="F12" s="165">
        <v>0.7701388888888889</v>
      </c>
      <c r="G12" s="172" t="s">
        <v>93</v>
      </c>
      <c r="H12" s="166">
        <v>1.007638888888889</v>
      </c>
      <c r="K12" s="173"/>
      <c r="L12" s="174"/>
      <c r="M12" s="175"/>
      <c r="N12" s="175"/>
      <c r="O12" s="176"/>
      <c r="P12" s="177"/>
      <c r="Q12" s="176"/>
      <c r="R12" s="177"/>
    </row>
    <row r="13">
      <c r="A13" s="164">
        <v>45857.0</v>
      </c>
      <c r="B13" s="68" t="s">
        <v>27</v>
      </c>
      <c r="C13" s="68">
        <v>24.0</v>
      </c>
      <c r="D13" s="68">
        <v>10.0</v>
      </c>
      <c r="E13" s="68" t="s">
        <v>94</v>
      </c>
      <c r="F13" s="165">
        <v>0.7520833333333333</v>
      </c>
      <c r="G13" s="172" t="s">
        <v>95</v>
      </c>
      <c r="H13" s="165">
        <v>0.9513888888888888</v>
      </c>
      <c r="K13" s="173"/>
      <c r="L13" s="174"/>
      <c r="M13" s="175"/>
      <c r="N13" s="175"/>
      <c r="O13" s="176"/>
      <c r="P13" s="177"/>
      <c r="Q13" s="176"/>
      <c r="R13" s="177"/>
    </row>
    <row r="14">
      <c r="A14" s="164">
        <v>45857.0</v>
      </c>
      <c r="B14" s="68" t="s">
        <v>20</v>
      </c>
      <c r="C14" s="68">
        <v>44.0</v>
      </c>
      <c r="D14" s="68">
        <v>11.0</v>
      </c>
      <c r="E14" s="68" t="s">
        <v>96</v>
      </c>
      <c r="F14" s="165">
        <v>0.7597222222222222</v>
      </c>
      <c r="G14" s="172" t="s">
        <v>97</v>
      </c>
      <c r="H14" s="165">
        <v>0.9909722222222223</v>
      </c>
      <c r="K14" s="173"/>
      <c r="L14" s="174"/>
      <c r="M14" s="175"/>
      <c r="N14" s="175"/>
      <c r="O14" s="176"/>
      <c r="P14" s="178"/>
      <c r="Q14" s="176"/>
      <c r="R14" s="178"/>
    </row>
    <row r="15">
      <c r="A15" s="164">
        <v>45857.0</v>
      </c>
      <c r="B15" s="68" t="s">
        <v>98</v>
      </c>
      <c r="C15" s="68">
        <v>36.0</v>
      </c>
      <c r="D15" s="68">
        <v>10.0</v>
      </c>
      <c r="E15" s="68" t="s">
        <v>99</v>
      </c>
      <c r="F15" s="165">
        <v>0.7611111111111111</v>
      </c>
      <c r="G15" s="172" t="s">
        <v>100</v>
      </c>
      <c r="H15" s="165">
        <v>0.7555555555555555</v>
      </c>
      <c r="K15" s="173"/>
      <c r="L15" s="174"/>
      <c r="M15" s="175"/>
      <c r="N15" s="175"/>
      <c r="O15" s="176"/>
      <c r="P15" s="177"/>
      <c r="Q15" s="176"/>
      <c r="R15" s="178"/>
    </row>
    <row r="16">
      <c r="A16" s="164">
        <v>45857.0</v>
      </c>
      <c r="B16" s="68" t="s">
        <v>101</v>
      </c>
      <c r="C16" s="68">
        <v>27.0</v>
      </c>
      <c r="D16" s="68">
        <v>18.0</v>
      </c>
      <c r="E16" s="68" t="s">
        <v>102</v>
      </c>
      <c r="F16" s="165">
        <v>0.7881944444444444</v>
      </c>
      <c r="G16" s="172" t="s">
        <v>103</v>
      </c>
      <c r="H16" s="165">
        <v>0.9770833333333333</v>
      </c>
      <c r="K16" s="173"/>
      <c r="L16" s="174"/>
      <c r="M16" s="175"/>
      <c r="N16" s="175"/>
      <c r="O16" s="176"/>
      <c r="P16" s="177"/>
      <c r="Q16" s="176"/>
      <c r="R16" s="177"/>
    </row>
    <row r="17">
      <c r="A17" s="164">
        <v>45857.0</v>
      </c>
      <c r="B17" s="68" t="s">
        <v>25</v>
      </c>
      <c r="C17" s="68">
        <v>35.0</v>
      </c>
      <c r="D17" s="68">
        <v>11.0</v>
      </c>
      <c r="E17" s="68" t="s">
        <v>104</v>
      </c>
      <c r="F17" s="165">
        <v>0.94375</v>
      </c>
      <c r="G17" s="172" t="s">
        <v>105</v>
      </c>
      <c r="H17" s="166">
        <v>1.01875</v>
      </c>
      <c r="K17" s="173"/>
      <c r="L17" s="174"/>
      <c r="M17" s="175"/>
      <c r="N17" s="175"/>
      <c r="O17" s="176"/>
      <c r="P17" s="177"/>
      <c r="Q17" s="176"/>
      <c r="R17" s="178"/>
    </row>
    <row r="18">
      <c r="A18" s="164">
        <v>45857.0</v>
      </c>
      <c r="B18" s="68" t="s">
        <v>18</v>
      </c>
      <c r="C18" s="68">
        <v>17.0</v>
      </c>
      <c r="D18" s="68">
        <v>12.0</v>
      </c>
      <c r="E18" s="68" t="s">
        <v>106</v>
      </c>
      <c r="F18" s="165">
        <v>0.6916666666666667</v>
      </c>
      <c r="G18" s="172" t="s">
        <v>107</v>
      </c>
      <c r="H18" s="166">
        <v>1.0159722222222223</v>
      </c>
      <c r="K18" s="173"/>
      <c r="L18" s="174"/>
      <c r="M18" s="175"/>
      <c r="N18" s="175"/>
      <c r="O18" s="176"/>
      <c r="P18" s="178"/>
      <c r="Q18" s="179"/>
      <c r="R18" s="176"/>
    </row>
    <row r="19">
      <c r="A19" s="164">
        <v>45857.0</v>
      </c>
      <c r="B19" s="68" t="s">
        <v>9</v>
      </c>
      <c r="C19" s="68">
        <v>15.0</v>
      </c>
      <c r="D19" s="68">
        <v>7.0</v>
      </c>
      <c r="E19" s="68" t="s">
        <v>108</v>
      </c>
      <c r="F19" s="165">
        <v>0.9277777777777778</v>
      </c>
      <c r="G19" s="172" t="s">
        <v>109</v>
      </c>
      <c r="H19" s="166">
        <v>1.6222222222222222</v>
      </c>
      <c r="K19" s="173"/>
      <c r="L19" s="174"/>
      <c r="M19" s="175"/>
      <c r="N19" s="175"/>
      <c r="O19" s="176"/>
      <c r="P19" s="177"/>
      <c r="Q19" s="176"/>
      <c r="R19" s="178"/>
    </row>
    <row r="20">
      <c r="A20" s="164">
        <v>45857.0</v>
      </c>
      <c r="B20" s="68" t="s">
        <v>22</v>
      </c>
      <c r="C20" s="68">
        <v>20.0</v>
      </c>
      <c r="D20" s="68">
        <v>5.0</v>
      </c>
      <c r="E20" s="68" t="s">
        <v>110</v>
      </c>
      <c r="F20" s="166">
        <v>1.0729166666666667</v>
      </c>
      <c r="G20" s="172" t="s">
        <v>111</v>
      </c>
      <c r="H20" s="166">
        <v>1.0222222222222221</v>
      </c>
      <c r="K20" s="173"/>
      <c r="L20" s="174"/>
      <c r="M20" s="175"/>
      <c r="N20" s="175"/>
      <c r="O20" s="176"/>
      <c r="P20" s="178"/>
      <c r="Q20" s="176"/>
      <c r="R20" s="178"/>
    </row>
    <row r="21">
      <c r="A21" s="164">
        <v>45857.0</v>
      </c>
      <c r="B21" s="68" t="s">
        <v>7</v>
      </c>
      <c r="C21" s="68">
        <v>39.0</v>
      </c>
      <c r="D21" s="68">
        <v>16.0</v>
      </c>
      <c r="E21" s="68" t="s">
        <v>112</v>
      </c>
      <c r="F21" s="165">
        <v>0.7840277777777778</v>
      </c>
      <c r="G21" s="172" t="s">
        <v>113</v>
      </c>
      <c r="H21" s="166">
        <v>1.0020833333333334</v>
      </c>
      <c r="K21" s="173"/>
      <c r="L21" s="174"/>
      <c r="M21" s="175"/>
      <c r="N21" s="175"/>
      <c r="O21" s="176"/>
      <c r="P21" s="177"/>
      <c r="Q21" s="176"/>
      <c r="R21" s="177"/>
    </row>
    <row r="22">
      <c r="A22" s="164">
        <v>45857.0</v>
      </c>
      <c r="B22" s="68" t="s">
        <v>17</v>
      </c>
      <c r="C22" s="68">
        <v>13.0</v>
      </c>
      <c r="D22" s="68">
        <v>10.0</v>
      </c>
      <c r="E22" s="68" t="s">
        <v>114</v>
      </c>
      <c r="F22" s="165">
        <v>0.9215277777777777</v>
      </c>
      <c r="G22" s="172" t="s">
        <v>115</v>
      </c>
      <c r="H22" s="166">
        <v>1.1375</v>
      </c>
      <c r="K22" s="173"/>
      <c r="L22" s="174"/>
      <c r="M22" s="175"/>
      <c r="N22" s="175"/>
      <c r="O22" s="176"/>
      <c r="P22" s="177"/>
      <c r="Q22" s="176"/>
      <c r="R22" s="178"/>
    </row>
    <row r="23">
      <c r="G23" s="172"/>
      <c r="K23" s="173"/>
      <c r="L23" s="174"/>
      <c r="M23" s="175"/>
      <c r="N23" s="175"/>
      <c r="O23" s="176"/>
      <c r="P23" s="177"/>
      <c r="Q23" s="176"/>
      <c r="R23" s="177"/>
    </row>
    <row r="24">
      <c r="A24" s="180">
        <v>45857.0</v>
      </c>
      <c r="B24" s="181" t="s">
        <v>116</v>
      </c>
      <c r="C24" s="181">
        <v>11.0</v>
      </c>
      <c r="D24" s="181">
        <v>7.0</v>
      </c>
      <c r="E24" s="181" t="s">
        <v>117</v>
      </c>
      <c r="F24" s="182">
        <v>0.8611111111111112</v>
      </c>
      <c r="G24" s="181" t="s">
        <v>118</v>
      </c>
      <c r="H24" s="183">
        <v>1.1847222222222222</v>
      </c>
      <c r="I24" s="184"/>
      <c r="J24" s="184"/>
      <c r="K24" s="185"/>
      <c r="L24" s="186"/>
      <c r="M24" s="187"/>
      <c r="N24" s="187"/>
      <c r="O24" s="188"/>
      <c r="P24" s="189"/>
      <c r="Q24" s="188"/>
      <c r="R24" s="190"/>
      <c r="S24" s="184"/>
      <c r="T24" s="184"/>
      <c r="U24" s="184"/>
      <c r="V24" s="184"/>
      <c r="W24" s="184"/>
      <c r="X24" s="184"/>
      <c r="Y24" s="184"/>
      <c r="Z24" s="184"/>
    </row>
    <row r="25">
      <c r="A25" s="164">
        <v>45857.0</v>
      </c>
      <c r="B25" s="68" t="s">
        <v>119</v>
      </c>
      <c r="C25" s="68">
        <v>13.0</v>
      </c>
      <c r="D25" s="68">
        <v>4.0</v>
      </c>
      <c r="E25" s="68" t="s">
        <v>120</v>
      </c>
      <c r="F25" s="165">
        <v>0.8965277777777778</v>
      </c>
      <c r="G25" s="68" t="s">
        <v>121</v>
      </c>
      <c r="H25" s="166">
        <v>1.1701388888888888</v>
      </c>
    </row>
    <row r="27">
      <c r="A27" s="164">
        <v>45857.0</v>
      </c>
      <c r="B27" s="68" t="s">
        <v>122</v>
      </c>
      <c r="C27" s="68">
        <v>49.0</v>
      </c>
      <c r="D27" s="68">
        <v>3.0</v>
      </c>
      <c r="E27" s="68" t="s">
        <v>123</v>
      </c>
      <c r="F27" s="165">
        <v>0.8208333333333333</v>
      </c>
      <c r="G27" s="68" t="s">
        <v>124</v>
      </c>
      <c r="H27" s="165">
        <v>0.9888888888888889</v>
      </c>
    </row>
    <row r="28">
      <c r="A28" s="164">
        <v>45857.0</v>
      </c>
      <c r="B28" s="68" t="s">
        <v>125</v>
      </c>
      <c r="C28" s="68">
        <v>16.0</v>
      </c>
      <c r="D28" s="68">
        <v>5.0</v>
      </c>
      <c r="E28" s="68" t="s">
        <v>126</v>
      </c>
      <c r="F28" s="165">
        <v>0.8590277777777777</v>
      </c>
      <c r="G28" s="68" t="s">
        <v>127</v>
      </c>
      <c r="H28" s="166">
        <v>1.28125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</cols>
  <sheetData>
    <row r="1">
      <c r="A1" s="191">
        <v>45850.0</v>
      </c>
      <c r="B1" s="192" t="s">
        <v>128</v>
      </c>
      <c r="C1" s="193">
        <v>29.0</v>
      </c>
      <c r="D1" s="193">
        <v>14.0</v>
      </c>
      <c r="E1" s="194" t="s">
        <v>129</v>
      </c>
      <c r="F1" s="195">
        <v>0.8145833333333333</v>
      </c>
      <c r="G1" s="194" t="s">
        <v>130</v>
      </c>
      <c r="H1" s="196">
        <v>1.051388888888889</v>
      </c>
    </row>
    <row r="2">
      <c r="A2" s="191">
        <v>45850.0</v>
      </c>
      <c r="B2" s="192" t="s">
        <v>131</v>
      </c>
      <c r="C2" s="193">
        <v>10.0</v>
      </c>
      <c r="D2" s="193">
        <v>6.0</v>
      </c>
      <c r="E2" s="194" t="s">
        <v>132</v>
      </c>
      <c r="F2" s="195">
        <v>0.95625</v>
      </c>
      <c r="G2" s="194" t="s">
        <v>133</v>
      </c>
      <c r="H2" s="196">
        <v>1.0361111111111112</v>
      </c>
    </row>
    <row r="3">
      <c r="A3" s="191">
        <v>45850.0</v>
      </c>
      <c r="B3" s="192" t="s">
        <v>134</v>
      </c>
      <c r="C3" s="193">
        <v>26.0</v>
      </c>
      <c r="D3" s="193">
        <v>7.0</v>
      </c>
      <c r="E3" s="194" t="s">
        <v>135</v>
      </c>
      <c r="F3" s="196">
        <v>0.7479166666666667</v>
      </c>
      <c r="G3" s="194" t="s">
        <v>136</v>
      </c>
      <c r="H3" s="196">
        <v>0.90625</v>
      </c>
    </row>
    <row r="4">
      <c r="A4" s="191">
        <v>45850.0</v>
      </c>
      <c r="B4" s="192" t="s">
        <v>137</v>
      </c>
      <c r="C4" s="193">
        <v>23.0</v>
      </c>
      <c r="D4" s="193">
        <v>4.0</v>
      </c>
      <c r="E4" s="194" t="s">
        <v>138</v>
      </c>
      <c r="F4" s="196">
        <v>0.7847222222222222</v>
      </c>
      <c r="G4" s="194" t="s">
        <v>139</v>
      </c>
      <c r="H4" s="196">
        <v>1.2493055555555554</v>
      </c>
    </row>
    <row r="5">
      <c r="A5" s="191">
        <v>45850.0</v>
      </c>
      <c r="B5" s="192" t="s">
        <v>140</v>
      </c>
      <c r="C5" s="193">
        <v>5.0</v>
      </c>
      <c r="D5" s="193">
        <v>15.0</v>
      </c>
      <c r="E5" s="194" t="s">
        <v>141</v>
      </c>
      <c r="F5" s="195">
        <v>1.8416666666666666</v>
      </c>
      <c r="G5" s="194" t="s">
        <v>142</v>
      </c>
      <c r="H5" s="196">
        <v>1.3333333333333333</v>
      </c>
    </row>
    <row r="6">
      <c r="A6" s="191">
        <v>45850.0</v>
      </c>
      <c r="B6" s="192" t="s">
        <v>143</v>
      </c>
      <c r="C6" s="193">
        <v>164.0</v>
      </c>
      <c r="D6" s="193">
        <v>31.0</v>
      </c>
      <c r="E6" s="194" t="s">
        <v>144</v>
      </c>
      <c r="F6" s="195">
        <v>0.6798611111111111</v>
      </c>
      <c r="G6" s="194" t="s">
        <v>145</v>
      </c>
      <c r="H6" s="195">
        <v>0.8222222222222222</v>
      </c>
    </row>
    <row r="7">
      <c r="A7" s="191">
        <v>45850.0</v>
      </c>
      <c r="B7" s="192" t="s">
        <v>146</v>
      </c>
      <c r="C7" s="193">
        <v>98.0</v>
      </c>
      <c r="D7" s="193">
        <v>28.0</v>
      </c>
      <c r="E7" s="194" t="s">
        <v>84</v>
      </c>
      <c r="F7" s="195">
        <v>0.7131944444444445</v>
      </c>
      <c r="G7" s="194" t="s">
        <v>147</v>
      </c>
      <c r="H7" s="195">
        <v>0.9381944444444444</v>
      </c>
    </row>
    <row r="8">
      <c r="A8" s="191">
        <v>45850.0</v>
      </c>
      <c r="B8" s="192" t="s">
        <v>148</v>
      </c>
      <c r="C8" s="193">
        <v>17.0</v>
      </c>
      <c r="D8" s="193">
        <v>15.0</v>
      </c>
      <c r="E8" s="194" t="s">
        <v>149</v>
      </c>
      <c r="F8" s="195">
        <v>0.8576388888888888</v>
      </c>
      <c r="G8" s="194" t="s">
        <v>150</v>
      </c>
      <c r="H8" s="196">
        <v>1.1701388888888888</v>
      </c>
    </row>
    <row r="9">
      <c r="A9" s="191">
        <v>45850.0</v>
      </c>
      <c r="B9" s="192" t="s">
        <v>151</v>
      </c>
      <c r="C9" s="193">
        <v>7.0</v>
      </c>
      <c r="D9" s="193">
        <v>6.0</v>
      </c>
      <c r="E9" s="194" t="s">
        <v>152</v>
      </c>
      <c r="F9" s="195">
        <v>0.8604166666666667</v>
      </c>
      <c r="G9" s="194" t="s">
        <v>153</v>
      </c>
      <c r="H9" s="196">
        <v>1.4305555555555556</v>
      </c>
    </row>
    <row r="10">
      <c r="A10" s="191">
        <v>45850.0</v>
      </c>
      <c r="B10" s="192" t="s">
        <v>154</v>
      </c>
      <c r="C10" s="193">
        <v>13.0</v>
      </c>
      <c r="D10" s="193">
        <v>11.0</v>
      </c>
      <c r="E10" s="194" t="s">
        <v>92</v>
      </c>
      <c r="F10" s="195">
        <v>0.8076388888888889</v>
      </c>
      <c r="G10" s="194" t="s">
        <v>155</v>
      </c>
      <c r="H10" s="195">
        <v>1.2069444444444444</v>
      </c>
    </row>
    <row r="11">
      <c r="A11" s="191">
        <v>45850.0</v>
      </c>
      <c r="B11" s="192" t="s">
        <v>156</v>
      </c>
      <c r="C11" s="193">
        <v>15.0</v>
      </c>
      <c r="D11" s="193">
        <v>7.0</v>
      </c>
      <c r="E11" s="194" t="s">
        <v>94</v>
      </c>
      <c r="F11" s="195">
        <v>0.7541666666666667</v>
      </c>
      <c r="G11" s="194" t="s">
        <v>157</v>
      </c>
      <c r="H11" s="195">
        <v>1.2444444444444445</v>
      </c>
    </row>
    <row r="12">
      <c r="A12" s="191">
        <v>45850.0</v>
      </c>
      <c r="B12" s="192" t="s">
        <v>158</v>
      </c>
      <c r="C12" s="193">
        <v>44.0</v>
      </c>
      <c r="D12" s="193">
        <v>11.0</v>
      </c>
      <c r="E12" s="194" t="s">
        <v>96</v>
      </c>
      <c r="F12" s="195">
        <v>0.7604166666666666</v>
      </c>
      <c r="G12" s="194" t="s">
        <v>159</v>
      </c>
      <c r="H12" s="196">
        <v>0.9090277777777778</v>
      </c>
    </row>
    <row r="13">
      <c r="A13" s="191">
        <v>45850.0</v>
      </c>
      <c r="B13" s="192" t="s">
        <v>160</v>
      </c>
      <c r="C13" s="193">
        <v>24.0</v>
      </c>
      <c r="D13" s="193">
        <v>4.0</v>
      </c>
      <c r="E13" s="194" t="s">
        <v>161</v>
      </c>
      <c r="F13" s="195">
        <v>0.89375</v>
      </c>
      <c r="G13" s="194" t="s">
        <v>162</v>
      </c>
      <c r="H13" s="196">
        <v>0.9388888888888889</v>
      </c>
    </row>
    <row r="14">
      <c r="A14" s="191">
        <v>45850.0</v>
      </c>
      <c r="B14" s="192" t="s">
        <v>163</v>
      </c>
      <c r="C14" s="193">
        <v>30.0</v>
      </c>
      <c r="D14" s="193">
        <v>15.0</v>
      </c>
      <c r="E14" s="194" t="s">
        <v>164</v>
      </c>
      <c r="F14" s="195">
        <v>0.8319444444444445</v>
      </c>
      <c r="G14" s="194" t="s">
        <v>165</v>
      </c>
      <c r="H14" s="196">
        <v>0.9333333333333333</v>
      </c>
    </row>
    <row r="15">
      <c r="A15" s="191">
        <v>45850.0</v>
      </c>
      <c r="B15" s="192" t="s">
        <v>166</v>
      </c>
      <c r="C15" s="193">
        <v>39.0</v>
      </c>
      <c r="D15" s="193">
        <v>15.0</v>
      </c>
      <c r="E15" s="194" t="s">
        <v>167</v>
      </c>
      <c r="F15" s="196">
        <v>0.9388888888888889</v>
      </c>
      <c r="G15" s="194" t="s">
        <v>168</v>
      </c>
      <c r="H15" s="196">
        <v>0.9611111111111111</v>
      </c>
    </row>
    <row r="16">
      <c r="A16" s="191">
        <v>45850.0</v>
      </c>
      <c r="B16" s="192" t="s">
        <v>169</v>
      </c>
      <c r="C16" s="193">
        <v>23.0</v>
      </c>
      <c r="D16" s="193">
        <v>10.0</v>
      </c>
      <c r="E16" s="194" t="s">
        <v>106</v>
      </c>
      <c r="F16" s="195">
        <v>0.7444444444444445</v>
      </c>
      <c r="G16" s="194" t="s">
        <v>107</v>
      </c>
      <c r="H16" s="196">
        <v>0.9645833333333333</v>
      </c>
    </row>
    <row r="17">
      <c r="A17" s="191">
        <v>45850.0</v>
      </c>
      <c r="B17" s="192" t="s">
        <v>170</v>
      </c>
      <c r="C17" s="193">
        <v>22.0</v>
      </c>
      <c r="D17" s="193">
        <v>7.0</v>
      </c>
      <c r="E17" s="194" t="s">
        <v>171</v>
      </c>
      <c r="F17" s="195">
        <v>0.9090277777777778</v>
      </c>
      <c r="G17" s="194" t="s">
        <v>172</v>
      </c>
      <c r="H17" s="196">
        <v>1.15</v>
      </c>
    </row>
    <row r="18">
      <c r="A18" s="191">
        <v>45850.0</v>
      </c>
      <c r="B18" s="192" t="s">
        <v>173</v>
      </c>
      <c r="C18" s="193">
        <v>20.0</v>
      </c>
      <c r="D18" s="193">
        <v>5.0</v>
      </c>
      <c r="E18" s="194" t="s">
        <v>174</v>
      </c>
      <c r="F18" s="196">
        <v>1.0597222222222222</v>
      </c>
      <c r="G18" s="194" t="s">
        <v>175</v>
      </c>
      <c r="H18" s="196">
        <v>1.0722222222222222</v>
      </c>
    </row>
    <row r="19">
      <c r="A19" s="191">
        <v>45850.0</v>
      </c>
      <c r="B19" s="192" t="s">
        <v>176</v>
      </c>
      <c r="C19" s="193">
        <v>27.0</v>
      </c>
      <c r="D19" s="193">
        <v>13.0</v>
      </c>
      <c r="E19" s="194" t="s">
        <v>177</v>
      </c>
      <c r="F19" s="195">
        <v>0.7770833333333333</v>
      </c>
      <c r="G19" s="194" t="s">
        <v>178</v>
      </c>
      <c r="H19" s="196">
        <v>1.1145833333333333</v>
      </c>
    </row>
    <row r="20">
      <c r="A20" s="191">
        <v>45850.0</v>
      </c>
      <c r="B20" s="192" t="s">
        <v>179</v>
      </c>
      <c r="C20" s="193">
        <v>13.0</v>
      </c>
      <c r="D20" s="193">
        <v>5.0</v>
      </c>
      <c r="E20" s="194" t="s">
        <v>180</v>
      </c>
      <c r="F20" s="195">
        <v>1.05</v>
      </c>
      <c r="G20" s="194" t="s">
        <v>181</v>
      </c>
      <c r="H20" s="195">
        <v>1.0125</v>
      </c>
    </row>
    <row r="21">
      <c r="A21" s="191">
        <v>45843.0</v>
      </c>
      <c r="B21" s="192" t="s">
        <v>182</v>
      </c>
      <c r="C21" s="197">
        <v>5.0</v>
      </c>
      <c r="D21" s="197">
        <v>1.0</v>
      </c>
      <c r="E21" s="194" t="s">
        <v>69</v>
      </c>
      <c r="F21" s="195">
        <v>0.95625</v>
      </c>
      <c r="G21" s="194" t="s">
        <v>183</v>
      </c>
      <c r="H21" s="196">
        <v>1.2604166666666667</v>
      </c>
    </row>
    <row r="22">
      <c r="A22" s="191">
        <v>45843.0</v>
      </c>
      <c r="B22" s="192" t="s">
        <v>184</v>
      </c>
      <c r="C22" s="197">
        <v>38.0</v>
      </c>
      <c r="D22" s="197">
        <v>9.0</v>
      </c>
      <c r="E22" s="194" t="s">
        <v>185</v>
      </c>
      <c r="F22" s="195">
        <v>0.7847222222222222</v>
      </c>
      <c r="G22" s="194" t="s">
        <v>186</v>
      </c>
      <c r="H22" s="196">
        <v>0.9604166666666667</v>
      </c>
    </row>
    <row r="23">
      <c r="A23" s="198"/>
      <c r="B23" s="199"/>
      <c r="C23" s="193"/>
      <c r="D23" s="193"/>
      <c r="E23" s="194"/>
      <c r="F23" s="195"/>
      <c r="G23" s="194"/>
      <c r="H23" s="196"/>
    </row>
    <row r="24">
      <c r="A24" s="191">
        <v>45850.0</v>
      </c>
      <c r="B24" s="192" t="s">
        <v>187</v>
      </c>
      <c r="C24" s="193">
        <v>17.0</v>
      </c>
      <c r="D24" s="193">
        <v>10.0</v>
      </c>
      <c r="E24" s="194" t="s">
        <v>188</v>
      </c>
      <c r="F24" s="195">
        <v>0.7791666666666667</v>
      </c>
      <c r="G24" s="194" t="s">
        <v>189</v>
      </c>
      <c r="H24" s="195">
        <v>0.9854166666666667</v>
      </c>
    </row>
    <row r="25">
      <c r="A25" s="191">
        <v>45850.0</v>
      </c>
      <c r="B25" s="192" t="s">
        <v>190</v>
      </c>
      <c r="C25" s="193">
        <v>6.0</v>
      </c>
      <c r="D25" s="193">
        <v>4.0</v>
      </c>
      <c r="E25" s="194" t="s">
        <v>120</v>
      </c>
      <c r="F25" s="195">
        <v>0.9326388888888889</v>
      </c>
      <c r="G25" s="194" t="s">
        <v>191</v>
      </c>
      <c r="H25" s="196">
        <v>1.5020833333333334</v>
      </c>
    </row>
    <row r="27">
      <c r="A27" s="191">
        <v>45850.0</v>
      </c>
      <c r="B27" s="192" t="s">
        <v>192</v>
      </c>
      <c r="C27" s="193">
        <v>27.0</v>
      </c>
      <c r="D27" s="193">
        <v>1.0</v>
      </c>
      <c r="E27" s="194" t="s">
        <v>193</v>
      </c>
      <c r="F27" s="195">
        <v>0.81875</v>
      </c>
      <c r="G27" s="194" t="s">
        <v>194</v>
      </c>
      <c r="H27" s="196">
        <v>1.1416666666666666</v>
      </c>
    </row>
    <row r="28">
      <c r="A28" s="191">
        <v>45850.0</v>
      </c>
      <c r="B28" s="192" t="s">
        <v>195</v>
      </c>
      <c r="C28" s="193">
        <v>16.0</v>
      </c>
      <c r="D28" s="193">
        <v>3.0</v>
      </c>
      <c r="E28" s="194" t="s">
        <v>196</v>
      </c>
      <c r="F28" s="195">
        <v>0.7666666666666667</v>
      </c>
      <c r="G28" s="194" t="s">
        <v>197</v>
      </c>
      <c r="H28" s="196">
        <v>1.0375</v>
      </c>
    </row>
  </sheetData>
  <hyperlinks>
    <hyperlink r:id="rId1" ref="A1"/>
    <hyperlink r:id="rId2" ref="B1"/>
    <hyperlink r:id="rId3" ref="A2"/>
    <hyperlink r:id="rId4" ref="B2"/>
    <hyperlink r:id="rId5" ref="A3"/>
    <hyperlink r:id="rId6" ref="B3"/>
    <hyperlink r:id="rId7" ref="A4"/>
    <hyperlink r:id="rId8" ref="B4"/>
    <hyperlink r:id="rId9" ref="A5"/>
    <hyperlink r:id="rId10" ref="B5"/>
    <hyperlink r:id="rId11" ref="A6"/>
    <hyperlink r:id="rId12" ref="B6"/>
    <hyperlink r:id="rId13" ref="A7"/>
    <hyperlink r:id="rId14" ref="B7"/>
    <hyperlink r:id="rId15" ref="A8"/>
    <hyperlink r:id="rId16" ref="B8"/>
    <hyperlink r:id="rId17" ref="A9"/>
    <hyperlink r:id="rId18" ref="B9"/>
    <hyperlink r:id="rId19" ref="A10"/>
    <hyperlink r:id="rId20" ref="B10"/>
    <hyperlink r:id="rId21" ref="A11"/>
    <hyperlink r:id="rId22" ref="B11"/>
    <hyperlink r:id="rId23" ref="A12"/>
    <hyperlink r:id="rId24" ref="B12"/>
    <hyperlink r:id="rId25" ref="A13"/>
    <hyperlink r:id="rId26" ref="B13"/>
    <hyperlink r:id="rId27" ref="A14"/>
    <hyperlink r:id="rId28" ref="B14"/>
    <hyperlink r:id="rId29" ref="A15"/>
    <hyperlink r:id="rId30" ref="B15"/>
    <hyperlink r:id="rId31" ref="A16"/>
    <hyperlink r:id="rId32" ref="B16"/>
    <hyperlink r:id="rId33" ref="A17"/>
    <hyperlink r:id="rId34" ref="B17"/>
    <hyperlink r:id="rId35" ref="A18"/>
    <hyperlink r:id="rId36" ref="B18"/>
    <hyperlink r:id="rId37" ref="A19"/>
    <hyperlink r:id="rId38" ref="B19"/>
    <hyperlink r:id="rId39" ref="A20"/>
    <hyperlink r:id="rId40" ref="B20"/>
    <hyperlink r:id="rId41" ref="A21"/>
    <hyperlink r:id="rId42" ref="B21"/>
    <hyperlink r:id="rId43" ref="A22"/>
    <hyperlink r:id="rId44" ref="B22"/>
    <hyperlink r:id="rId45" ref="A24"/>
    <hyperlink r:id="rId46" ref="B24"/>
    <hyperlink r:id="rId47" ref="A25"/>
    <hyperlink r:id="rId48" ref="B25"/>
    <hyperlink r:id="rId49" ref="A27"/>
    <hyperlink r:id="rId50" ref="B27"/>
    <hyperlink r:id="rId51" ref="A28"/>
    <hyperlink r:id="rId52" ref="B28"/>
  </hyperlinks>
  <drawing r:id="rId5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38"/>
    <col customWidth="1" min="5" max="5" width="25.38"/>
  </cols>
  <sheetData>
    <row r="1">
      <c r="A1" s="164">
        <v>45759.0</v>
      </c>
      <c r="B1" s="68" t="s">
        <v>66</v>
      </c>
      <c r="C1" s="68">
        <v>58.0</v>
      </c>
      <c r="D1" s="68">
        <v>16.0</v>
      </c>
      <c r="E1" s="68" t="s">
        <v>198</v>
      </c>
      <c r="F1" s="165">
        <v>0.7881944444444444</v>
      </c>
      <c r="G1" s="68" t="s">
        <v>199</v>
      </c>
      <c r="H1" s="166">
        <v>1.0020833333333334</v>
      </c>
    </row>
    <row r="2">
      <c r="A2" s="164">
        <v>45759.0</v>
      </c>
      <c r="B2" s="68" t="s">
        <v>75</v>
      </c>
      <c r="C2" s="68">
        <v>93.0</v>
      </c>
      <c r="D2" s="68">
        <v>13.0</v>
      </c>
      <c r="E2" s="68" t="s">
        <v>200</v>
      </c>
      <c r="F2" s="165">
        <v>0.7979166666666667</v>
      </c>
      <c r="G2" s="68" t="s">
        <v>186</v>
      </c>
      <c r="H2" s="165">
        <v>0.9513888888888888</v>
      </c>
    </row>
    <row r="3">
      <c r="A3" s="164">
        <v>45759.0</v>
      </c>
      <c r="B3" s="68" t="s">
        <v>3</v>
      </c>
      <c r="C3" s="68">
        <v>11.0</v>
      </c>
      <c r="D3" s="68">
        <v>5.0</v>
      </c>
      <c r="E3" s="68" t="s">
        <v>201</v>
      </c>
      <c r="F3" s="165">
        <v>0.7451388888888889</v>
      </c>
      <c r="G3" s="68" t="s">
        <v>133</v>
      </c>
      <c r="H3" s="165">
        <v>0.9743055555555555</v>
      </c>
    </row>
    <row r="4">
      <c r="A4" s="164">
        <v>45759.0</v>
      </c>
      <c r="B4" s="68" t="s">
        <v>11</v>
      </c>
      <c r="C4" s="68">
        <v>7.0</v>
      </c>
      <c r="D4" s="68">
        <v>24.0</v>
      </c>
      <c r="E4" s="68" t="s">
        <v>202</v>
      </c>
      <c r="F4" s="165">
        <v>0.8798611111111111</v>
      </c>
      <c r="G4" s="68" t="s">
        <v>203</v>
      </c>
      <c r="H4" s="165">
        <v>0.9833333333333333</v>
      </c>
    </row>
    <row r="5">
      <c r="A5" s="164">
        <v>45759.0</v>
      </c>
      <c r="B5" s="68" t="s">
        <v>21</v>
      </c>
      <c r="C5" s="68">
        <v>15.0</v>
      </c>
      <c r="D5" s="68">
        <v>4.0</v>
      </c>
      <c r="E5" s="68" t="s">
        <v>204</v>
      </c>
      <c r="F5" s="165">
        <v>0.8694444444444445</v>
      </c>
      <c r="G5" s="68" t="s">
        <v>79</v>
      </c>
      <c r="H5" s="166">
        <v>1.0298611111111111</v>
      </c>
    </row>
    <row r="6">
      <c r="A6" s="164">
        <v>45759.0</v>
      </c>
      <c r="B6" s="68" t="s">
        <v>8</v>
      </c>
      <c r="C6" s="68">
        <v>45.0</v>
      </c>
      <c r="D6" s="68">
        <v>18.0</v>
      </c>
      <c r="E6" s="68" t="s">
        <v>205</v>
      </c>
      <c r="F6" s="165">
        <v>0.7479166666666667</v>
      </c>
      <c r="G6" s="68" t="s">
        <v>206</v>
      </c>
      <c r="H6" s="165">
        <v>0.9763888888888889</v>
      </c>
    </row>
    <row r="7">
      <c r="A7" s="164">
        <v>45759.0</v>
      </c>
      <c r="B7" s="68" t="s">
        <v>4</v>
      </c>
      <c r="C7" s="68">
        <v>95.0</v>
      </c>
      <c r="D7" s="68">
        <v>32.0</v>
      </c>
      <c r="E7" s="68" t="s">
        <v>207</v>
      </c>
      <c r="F7" s="165">
        <v>0.7472222222222222</v>
      </c>
      <c r="G7" s="68" t="s">
        <v>208</v>
      </c>
      <c r="H7" s="165">
        <v>0.9229166666666667</v>
      </c>
    </row>
    <row r="8">
      <c r="A8" s="164">
        <v>45759.0</v>
      </c>
      <c r="B8" s="68" t="s">
        <v>5</v>
      </c>
      <c r="C8" s="68">
        <v>29.0</v>
      </c>
      <c r="D8" s="68">
        <v>15.0</v>
      </c>
      <c r="E8" s="68" t="s">
        <v>209</v>
      </c>
      <c r="F8" s="165">
        <v>0.8208333333333333</v>
      </c>
      <c r="G8" s="68" t="s">
        <v>87</v>
      </c>
      <c r="H8" s="166">
        <v>1.0416666666666667</v>
      </c>
    </row>
    <row r="9">
      <c r="A9" s="164">
        <v>45759.0</v>
      </c>
      <c r="B9" s="68" t="s">
        <v>91</v>
      </c>
      <c r="C9" s="68">
        <v>21.0</v>
      </c>
      <c r="D9" s="68">
        <v>13.0</v>
      </c>
      <c r="E9" s="68" t="s">
        <v>210</v>
      </c>
      <c r="F9" s="165">
        <v>0.8097222222222222</v>
      </c>
      <c r="G9" s="68" t="s">
        <v>211</v>
      </c>
      <c r="H9" s="166">
        <v>0.9430555555555555</v>
      </c>
    </row>
    <row r="10">
      <c r="A10" s="164">
        <v>45759.0</v>
      </c>
      <c r="B10" s="68" t="s">
        <v>20</v>
      </c>
      <c r="C10" s="68">
        <v>39.0</v>
      </c>
      <c r="D10" s="68">
        <v>9.0</v>
      </c>
      <c r="E10" s="68" t="s">
        <v>212</v>
      </c>
      <c r="F10" s="165">
        <v>0.7861111111111111</v>
      </c>
      <c r="G10" s="68" t="s">
        <v>213</v>
      </c>
      <c r="H10" s="166">
        <v>0.9347222222222222</v>
      </c>
    </row>
    <row r="11">
      <c r="A11" s="164">
        <v>45759.0</v>
      </c>
      <c r="B11" s="68" t="s">
        <v>88</v>
      </c>
      <c r="C11" s="68">
        <v>18.0</v>
      </c>
      <c r="D11" s="68">
        <v>13.0</v>
      </c>
      <c r="E11" s="68" t="s">
        <v>214</v>
      </c>
      <c r="F11" s="165">
        <v>0.8875</v>
      </c>
      <c r="G11" s="68" t="s">
        <v>215</v>
      </c>
      <c r="H11" s="165">
        <v>1.020138888888889</v>
      </c>
    </row>
    <row r="12">
      <c r="A12" s="164">
        <v>45759.0</v>
      </c>
      <c r="B12" s="68" t="s">
        <v>98</v>
      </c>
      <c r="C12" s="68">
        <v>19.0</v>
      </c>
      <c r="D12" s="68">
        <v>4.0</v>
      </c>
      <c r="E12" s="68" t="s">
        <v>216</v>
      </c>
      <c r="F12" s="165">
        <v>0.9131944444444444</v>
      </c>
      <c r="G12" s="68" t="s">
        <v>217</v>
      </c>
      <c r="H12" s="165">
        <v>1.1729166666666666</v>
      </c>
    </row>
    <row r="13">
      <c r="A13" s="164">
        <v>45759.0</v>
      </c>
      <c r="B13" s="68" t="s">
        <v>101</v>
      </c>
      <c r="C13" s="68">
        <v>80.0</v>
      </c>
      <c r="D13" s="68">
        <v>29.0</v>
      </c>
      <c r="E13" s="68" t="s">
        <v>218</v>
      </c>
      <c r="F13" s="165">
        <v>0.7819444444444444</v>
      </c>
      <c r="G13" s="68" t="s">
        <v>219</v>
      </c>
      <c r="H13" s="165">
        <v>0.8777777777777778</v>
      </c>
    </row>
    <row r="14">
      <c r="A14" s="164">
        <v>45759.0</v>
      </c>
      <c r="B14" s="68" t="s">
        <v>25</v>
      </c>
      <c r="C14" s="68">
        <v>39.0</v>
      </c>
      <c r="D14" s="68">
        <v>14.0</v>
      </c>
      <c r="E14" s="68" t="s">
        <v>220</v>
      </c>
      <c r="F14" s="165">
        <v>0.7576388888888889</v>
      </c>
      <c r="G14" s="68" t="s">
        <v>221</v>
      </c>
      <c r="H14" s="165">
        <v>1.0013888888888889</v>
      </c>
    </row>
    <row r="15">
      <c r="A15" s="164">
        <v>45759.0</v>
      </c>
      <c r="B15" s="68" t="s">
        <v>9</v>
      </c>
      <c r="C15" s="68">
        <v>36.0</v>
      </c>
      <c r="D15" s="68">
        <v>11.0</v>
      </c>
      <c r="E15" s="68" t="s">
        <v>222</v>
      </c>
      <c r="F15" s="166">
        <v>0.9965277777777778</v>
      </c>
      <c r="G15" s="68" t="s">
        <v>223</v>
      </c>
      <c r="H15" s="166">
        <v>1.2777777777777777</v>
      </c>
    </row>
    <row r="16">
      <c r="A16" s="164">
        <v>45759.0</v>
      </c>
      <c r="B16" s="68" t="s">
        <v>7</v>
      </c>
      <c r="C16" s="68">
        <v>32.0</v>
      </c>
      <c r="D16" s="68">
        <v>17.0</v>
      </c>
      <c r="E16" s="68" t="s">
        <v>224</v>
      </c>
      <c r="F16" s="165">
        <v>0.8326388888888889</v>
      </c>
      <c r="G16" s="68" t="s">
        <v>113</v>
      </c>
      <c r="H16" s="166">
        <v>1.06875</v>
      </c>
    </row>
    <row r="17">
      <c r="A17" s="164">
        <v>45759.0</v>
      </c>
      <c r="B17" s="68" t="s">
        <v>22</v>
      </c>
      <c r="C17" s="68">
        <v>13.0</v>
      </c>
      <c r="D17" s="68">
        <v>3.0</v>
      </c>
      <c r="E17" s="68" t="s">
        <v>225</v>
      </c>
      <c r="F17" s="165">
        <v>1.0958333333333334</v>
      </c>
      <c r="G17" s="68" t="s">
        <v>175</v>
      </c>
      <c r="H17" s="165">
        <v>1.3111111111111111</v>
      </c>
    </row>
    <row r="18">
      <c r="A18" s="164">
        <v>45759.0</v>
      </c>
      <c r="B18" s="68" t="s">
        <v>17</v>
      </c>
      <c r="C18" s="68">
        <v>9.0</v>
      </c>
      <c r="D18" s="68">
        <v>7.0</v>
      </c>
      <c r="E18" s="68" t="s">
        <v>226</v>
      </c>
      <c r="F18" s="166">
        <v>0.9166666666666666</v>
      </c>
      <c r="G18" s="68" t="s">
        <v>227</v>
      </c>
      <c r="H18" s="166">
        <v>1.1340277777777779</v>
      </c>
    </row>
    <row r="19">
      <c r="A19" s="164">
        <v>45745.0</v>
      </c>
      <c r="B19" s="68" t="s">
        <v>18</v>
      </c>
      <c r="C19" s="68">
        <v>10.0</v>
      </c>
      <c r="D19" s="68">
        <v>4.0</v>
      </c>
      <c r="E19" s="68" t="s">
        <v>228</v>
      </c>
      <c r="F19" s="165">
        <v>1.4583333333333333</v>
      </c>
      <c r="G19" s="68" t="s">
        <v>229</v>
      </c>
      <c r="H19" s="165">
        <v>1.4645833333333333</v>
      </c>
    </row>
    <row r="20">
      <c r="A20" s="164">
        <v>45759.0</v>
      </c>
      <c r="B20" s="68" t="s">
        <v>122</v>
      </c>
      <c r="C20" s="68">
        <v>17.0</v>
      </c>
      <c r="D20" s="68">
        <v>3.0</v>
      </c>
      <c r="E20" s="68" t="s">
        <v>230</v>
      </c>
      <c r="F20" s="165">
        <v>0.7930555555555555</v>
      </c>
      <c r="G20" s="68" t="s">
        <v>124</v>
      </c>
      <c r="H20" s="166">
        <v>1.1097222222222223</v>
      </c>
    </row>
    <row r="21">
      <c r="A21" s="164">
        <v>45759.0</v>
      </c>
      <c r="B21" s="68" t="s">
        <v>116</v>
      </c>
      <c r="C21" s="68">
        <v>25.0</v>
      </c>
      <c r="D21" s="68">
        <v>11.0</v>
      </c>
      <c r="E21" s="68" t="s">
        <v>231</v>
      </c>
      <c r="F21" s="165">
        <v>0.9819444444444444</v>
      </c>
      <c r="G21" s="68" t="s">
        <v>232</v>
      </c>
      <c r="H21" s="165">
        <v>0.9986111111111111</v>
      </c>
    </row>
    <row r="22">
      <c r="A22" s="164">
        <v>45759.0</v>
      </c>
      <c r="B22" s="68" t="s">
        <v>119</v>
      </c>
      <c r="C22" s="68">
        <v>12.0</v>
      </c>
      <c r="D22" s="68">
        <v>5.0</v>
      </c>
      <c r="E22" s="68" t="s">
        <v>233</v>
      </c>
      <c r="F22" s="165">
        <v>0.8354166666666667</v>
      </c>
      <c r="G22" s="68" t="s">
        <v>234</v>
      </c>
      <c r="H22" s="166">
        <v>1.0770833333333334</v>
      </c>
    </row>
    <row r="23">
      <c r="A23" s="137"/>
      <c r="C23" s="82">
        <f t="shared" ref="C23:D23" si="1">SUM(C1:C22)</f>
        <v>723</v>
      </c>
      <c r="D23" s="82">
        <f t="shared" si="1"/>
        <v>270</v>
      </c>
    </row>
    <row r="25">
      <c r="A25" s="164"/>
      <c r="F25" s="165"/>
      <c r="H25" s="165"/>
    </row>
    <row r="26">
      <c r="A26" s="137"/>
    </row>
    <row r="27">
      <c r="A27" s="137"/>
    </row>
    <row r="28">
      <c r="A28" s="137"/>
    </row>
    <row r="29">
      <c r="A29" s="137"/>
    </row>
    <row r="30">
      <c r="A30" s="137"/>
    </row>
    <row r="31">
      <c r="A31" s="137"/>
    </row>
    <row r="32">
      <c r="A32" s="137"/>
    </row>
    <row r="33">
      <c r="A33" s="137"/>
    </row>
    <row r="34">
      <c r="A34" s="137"/>
    </row>
    <row r="35">
      <c r="A35" s="137"/>
    </row>
    <row r="36">
      <c r="A36" s="137"/>
    </row>
    <row r="37">
      <c r="A37" s="137"/>
    </row>
    <row r="38">
      <c r="A38" s="137"/>
    </row>
    <row r="39">
      <c r="A39" s="137"/>
    </row>
    <row r="40">
      <c r="A40" s="137"/>
    </row>
    <row r="41">
      <c r="A41" s="137"/>
    </row>
    <row r="42">
      <c r="A42" s="137"/>
    </row>
    <row r="43">
      <c r="A43" s="137"/>
    </row>
    <row r="44">
      <c r="A44" s="137"/>
    </row>
    <row r="45">
      <c r="A45" s="137"/>
    </row>
    <row r="46">
      <c r="A46" s="137"/>
    </row>
    <row r="47">
      <c r="A47" s="137"/>
    </row>
    <row r="48">
      <c r="A48" s="137"/>
    </row>
    <row r="49">
      <c r="A49" s="137"/>
    </row>
    <row r="50">
      <c r="A50" s="137"/>
    </row>
    <row r="51">
      <c r="A51" s="137"/>
    </row>
    <row r="52">
      <c r="A52" s="137"/>
    </row>
    <row r="53">
      <c r="A53" s="137"/>
    </row>
    <row r="54">
      <c r="A54" s="137"/>
    </row>
    <row r="55">
      <c r="A55" s="137"/>
    </row>
    <row r="56">
      <c r="A56" s="137"/>
    </row>
    <row r="57">
      <c r="A57" s="137"/>
    </row>
    <row r="58">
      <c r="A58" s="137"/>
    </row>
    <row r="59">
      <c r="A59" s="137"/>
    </row>
    <row r="60">
      <c r="A60" s="137"/>
    </row>
    <row r="61">
      <c r="A61" s="137"/>
    </row>
    <row r="62">
      <c r="A62" s="137"/>
    </row>
    <row r="63">
      <c r="A63" s="137"/>
    </row>
    <row r="64">
      <c r="A64" s="137"/>
    </row>
    <row r="65">
      <c r="A65" s="137"/>
    </row>
    <row r="66">
      <c r="A66" s="137"/>
    </row>
    <row r="67">
      <c r="A67" s="137"/>
    </row>
    <row r="68">
      <c r="A68" s="137"/>
    </row>
    <row r="69">
      <c r="A69" s="137"/>
    </row>
    <row r="70">
      <c r="A70" s="137"/>
    </row>
    <row r="71">
      <c r="A71" s="137"/>
    </row>
    <row r="72">
      <c r="A72" s="137"/>
    </row>
    <row r="73">
      <c r="A73" s="137"/>
    </row>
    <row r="74">
      <c r="A74" s="137"/>
    </row>
    <row r="75">
      <c r="A75" s="137"/>
    </row>
    <row r="76">
      <c r="A76" s="137"/>
    </row>
    <row r="77">
      <c r="A77" s="137"/>
    </row>
    <row r="78">
      <c r="A78" s="137"/>
    </row>
    <row r="79">
      <c r="A79" s="137"/>
    </row>
    <row r="80">
      <c r="A80" s="137"/>
    </row>
    <row r="81">
      <c r="A81" s="137"/>
    </row>
    <row r="82">
      <c r="A82" s="137"/>
    </row>
    <row r="83">
      <c r="A83" s="137"/>
    </row>
    <row r="84">
      <c r="A84" s="137"/>
    </row>
    <row r="85">
      <c r="A85" s="137"/>
    </row>
    <row r="86">
      <c r="A86" s="137"/>
    </row>
    <row r="87">
      <c r="A87" s="137"/>
    </row>
    <row r="88">
      <c r="A88" s="137"/>
    </row>
    <row r="89">
      <c r="A89" s="137"/>
    </row>
    <row r="90">
      <c r="A90" s="137"/>
    </row>
    <row r="91">
      <c r="A91" s="137"/>
    </row>
    <row r="92">
      <c r="A92" s="137"/>
    </row>
    <row r="93">
      <c r="A93" s="13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8">
        <v>2022.0</v>
      </c>
      <c r="B1" s="200">
        <f>SUM('ОСНОВА'!E185:E227)</f>
        <v>3825</v>
      </c>
      <c r="C1" s="200">
        <f t="shared" ref="C1:C4" si="1">B1</f>
        <v>3825</v>
      </c>
      <c r="D1" s="200">
        <v>0.0</v>
      </c>
    </row>
    <row r="2">
      <c r="A2" s="68">
        <v>2023.0</v>
      </c>
      <c r="B2" s="200">
        <f>SUM('ОСНОВА'!E132:E184)</f>
        <v>5364</v>
      </c>
      <c r="C2" s="200">
        <f t="shared" si="1"/>
        <v>5364</v>
      </c>
      <c r="D2" s="200">
        <v>0.0</v>
      </c>
    </row>
    <row r="3">
      <c r="A3" s="68">
        <v>2024.0</v>
      </c>
      <c r="B3" s="200">
        <f>SUM('ОСНОВА'!E79:E131)</f>
        <v>7347</v>
      </c>
      <c r="C3" s="200">
        <f t="shared" si="1"/>
        <v>7347</v>
      </c>
      <c r="D3" s="200">
        <v>0.0</v>
      </c>
    </row>
    <row r="4">
      <c r="A4" s="68">
        <v>2025.0</v>
      </c>
      <c r="B4" s="200">
        <f>SUM('ОСНОВА'!E5:E78)</f>
        <v>13174</v>
      </c>
      <c r="C4" s="200">
        <f t="shared" si="1"/>
        <v>13174</v>
      </c>
      <c r="D4" s="86">
        <f>'ОСНОВА'!E4*2</f>
        <v>268.8687783</v>
      </c>
    </row>
    <row r="5">
      <c r="B5" s="86"/>
      <c r="C5" s="86"/>
      <c r="D5" s="86"/>
    </row>
    <row r="6">
      <c r="B6" s="86"/>
      <c r="C6" s="86"/>
      <c r="D6" s="86"/>
    </row>
    <row r="7">
      <c r="B7" s="86"/>
      <c r="C7" s="86"/>
      <c r="D7" s="86"/>
    </row>
    <row r="8">
      <c r="B8" s="86"/>
      <c r="C8" s="86"/>
      <c r="D8" s="86"/>
    </row>
    <row r="9">
      <c r="B9" s="86"/>
      <c r="C9" s="86"/>
      <c r="D9" s="86"/>
    </row>
    <row r="10">
      <c r="B10" s="86"/>
      <c r="C10" s="86"/>
      <c r="D10" s="86"/>
    </row>
    <row r="11">
      <c r="B11" s="86"/>
      <c r="C11" s="86"/>
      <c r="D11" s="86"/>
    </row>
    <row r="12">
      <c r="B12" s="86"/>
      <c r="C12" s="86"/>
      <c r="D12" s="86"/>
    </row>
    <row r="13">
      <c r="B13" s="86"/>
      <c r="C13" s="86"/>
      <c r="D13" s="86"/>
    </row>
    <row r="14">
      <c r="B14" s="86"/>
      <c r="C14" s="86"/>
      <c r="D14" s="86"/>
    </row>
    <row r="15">
      <c r="B15" s="86"/>
      <c r="C15" s="86"/>
      <c r="D15" s="86"/>
    </row>
    <row r="16">
      <c r="B16" s="86"/>
      <c r="C16" s="86"/>
      <c r="D16" s="86"/>
    </row>
    <row r="17">
      <c r="B17" s="86"/>
      <c r="C17" s="86"/>
      <c r="D17" s="86"/>
    </row>
    <row r="18">
      <c r="B18" s="86"/>
      <c r="C18" s="86"/>
      <c r="D18" s="86"/>
    </row>
    <row r="19">
      <c r="B19" s="200"/>
      <c r="C19" s="86"/>
      <c r="D19" s="86"/>
    </row>
    <row r="20">
      <c r="B20" s="86"/>
      <c r="C20" s="200"/>
      <c r="D20" s="86"/>
    </row>
    <row r="21">
      <c r="B21" s="86"/>
      <c r="C21" s="86"/>
      <c r="D21" s="86"/>
    </row>
    <row r="22">
      <c r="B22" s="86"/>
      <c r="C22" s="86"/>
      <c r="D22" s="86"/>
    </row>
    <row r="23">
      <c r="B23" s="86"/>
      <c r="C23" s="86"/>
      <c r="D23" s="86"/>
    </row>
    <row r="24">
      <c r="B24" s="86"/>
      <c r="C24" s="86"/>
      <c r="D24" s="86"/>
    </row>
    <row r="25">
      <c r="B25" s="86"/>
      <c r="C25" s="86"/>
      <c r="D25" s="86"/>
    </row>
    <row r="26">
      <c r="B26" s="86"/>
      <c r="C26" s="86"/>
      <c r="D26" s="86"/>
    </row>
    <row r="27">
      <c r="B27" s="86"/>
      <c r="C27" s="86"/>
      <c r="D27" s="86"/>
    </row>
    <row r="28">
      <c r="B28" s="86"/>
      <c r="C28" s="86"/>
      <c r="D28" s="86"/>
    </row>
    <row r="29">
      <c r="B29" s="86"/>
      <c r="C29" s="86"/>
      <c r="D29" s="86"/>
    </row>
    <row r="30">
      <c r="B30" s="86"/>
      <c r="C30" s="86"/>
      <c r="D30" s="86"/>
    </row>
    <row r="31">
      <c r="B31" s="86"/>
      <c r="C31" s="86"/>
      <c r="D31" s="86"/>
      <c r="N31" s="201"/>
    </row>
    <row r="32">
      <c r="B32" s="86"/>
      <c r="C32" s="86"/>
      <c r="D32" s="86"/>
    </row>
    <row r="33">
      <c r="B33" s="86"/>
      <c r="C33" s="86"/>
      <c r="D33" s="86"/>
    </row>
    <row r="34">
      <c r="B34" s="86"/>
      <c r="C34" s="86"/>
      <c r="D34" s="86"/>
    </row>
    <row r="35">
      <c r="B35" s="86"/>
      <c r="C35" s="86"/>
      <c r="D35" s="86"/>
    </row>
    <row r="36">
      <c r="B36" s="86"/>
      <c r="C36" s="86"/>
      <c r="D36" s="86"/>
    </row>
    <row r="37">
      <c r="B37" s="86"/>
      <c r="C37" s="86"/>
      <c r="D37" s="86"/>
    </row>
    <row r="38">
      <c r="B38" s="86"/>
      <c r="C38" s="86"/>
      <c r="D38" s="86"/>
    </row>
    <row r="39">
      <c r="B39" s="86"/>
      <c r="C39" s="86"/>
      <c r="D39" s="86"/>
    </row>
    <row r="40">
      <c r="B40" s="86"/>
      <c r="C40" s="86"/>
      <c r="D40" s="86"/>
    </row>
    <row r="41">
      <c r="B41" s="86"/>
      <c r="C41" s="86"/>
      <c r="D41" s="86"/>
    </row>
    <row r="42">
      <c r="B42" s="86"/>
      <c r="C42" s="86"/>
      <c r="D42" s="86"/>
    </row>
    <row r="43">
      <c r="B43" s="86"/>
      <c r="C43" s="86"/>
      <c r="D43" s="86"/>
    </row>
    <row r="44">
      <c r="B44" s="86"/>
      <c r="C44" s="86"/>
      <c r="D44" s="86"/>
    </row>
    <row r="45">
      <c r="B45" s="86"/>
      <c r="C45" s="86"/>
      <c r="D45" s="86"/>
    </row>
    <row r="46">
      <c r="B46" s="86"/>
      <c r="C46" s="86"/>
      <c r="D46" s="86"/>
    </row>
    <row r="47">
      <c r="B47" s="86"/>
      <c r="C47" s="86"/>
      <c r="D47" s="86"/>
    </row>
    <row r="48">
      <c r="B48" s="86"/>
      <c r="C48" s="86"/>
      <c r="D48" s="86"/>
    </row>
    <row r="49">
      <c r="B49" s="86"/>
      <c r="C49" s="86"/>
      <c r="D49" s="86"/>
    </row>
    <row r="50">
      <c r="B50" s="86"/>
      <c r="C50" s="86"/>
      <c r="D50" s="86"/>
    </row>
    <row r="51">
      <c r="B51" s="86"/>
      <c r="C51" s="86"/>
      <c r="D51" s="86"/>
    </row>
    <row r="52">
      <c r="B52" s="86"/>
      <c r="C52" s="86"/>
      <c r="D52" s="86"/>
    </row>
    <row r="53">
      <c r="B53" s="86"/>
      <c r="C53" s="86"/>
      <c r="D53" s="86"/>
    </row>
    <row r="54">
      <c r="B54" s="86"/>
      <c r="C54" s="86"/>
      <c r="D54" s="86"/>
    </row>
    <row r="55">
      <c r="B55" s="86"/>
      <c r="C55" s="86"/>
      <c r="D55" s="86"/>
    </row>
    <row r="56">
      <c r="B56" s="86"/>
      <c r="C56" s="86"/>
      <c r="D56" s="86"/>
    </row>
    <row r="57">
      <c r="B57" s="86"/>
      <c r="C57" s="86"/>
      <c r="D57" s="86"/>
    </row>
    <row r="58">
      <c r="B58" s="86"/>
      <c r="C58" s="86"/>
      <c r="D58" s="86"/>
    </row>
    <row r="59">
      <c r="B59" s="86"/>
      <c r="C59" s="86"/>
      <c r="D59" s="86"/>
    </row>
    <row r="60">
      <c r="B60" s="86"/>
      <c r="C60" s="86"/>
      <c r="D60" s="86"/>
    </row>
    <row r="61">
      <c r="B61" s="86"/>
      <c r="C61" s="86"/>
      <c r="D61" s="86"/>
    </row>
    <row r="62">
      <c r="B62" s="86"/>
      <c r="C62" s="86"/>
      <c r="D62" s="86"/>
    </row>
    <row r="63">
      <c r="B63" s="86"/>
      <c r="C63" s="86"/>
      <c r="D63" s="86"/>
    </row>
    <row r="64">
      <c r="B64" s="86"/>
      <c r="C64" s="86"/>
      <c r="D64" s="86"/>
    </row>
    <row r="65">
      <c r="B65" s="86"/>
      <c r="C65" s="86"/>
      <c r="D65" s="86"/>
    </row>
    <row r="66">
      <c r="B66" s="86"/>
      <c r="C66" s="86"/>
      <c r="D66" s="86"/>
    </row>
    <row r="67">
      <c r="B67" s="86"/>
      <c r="C67" s="86"/>
      <c r="D67" s="86"/>
    </row>
    <row r="68">
      <c r="B68" s="86"/>
      <c r="C68" s="86"/>
      <c r="D68" s="86"/>
    </row>
    <row r="69">
      <c r="B69" s="86"/>
      <c r="C69" s="86"/>
      <c r="D69" s="86"/>
    </row>
    <row r="70">
      <c r="B70" s="86"/>
      <c r="C70" s="86"/>
      <c r="D70" s="86"/>
    </row>
    <row r="71">
      <c r="B71" s="86"/>
      <c r="C71" s="86"/>
      <c r="D71" s="86"/>
    </row>
    <row r="72">
      <c r="B72" s="86"/>
      <c r="C72" s="86"/>
      <c r="D72" s="86"/>
    </row>
    <row r="73">
      <c r="B73" s="86"/>
      <c r="C73" s="86"/>
      <c r="D73" s="86"/>
    </row>
    <row r="74">
      <c r="B74" s="86"/>
      <c r="C74" s="86"/>
      <c r="D74" s="86"/>
    </row>
    <row r="75">
      <c r="B75" s="86"/>
      <c r="C75" s="86"/>
      <c r="D75" s="86"/>
    </row>
    <row r="76">
      <c r="B76" s="86"/>
      <c r="C76" s="86"/>
      <c r="D76" s="86"/>
    </row>
    <row r="77">
      <c r="B77" s="86"/>
      <c r="C77" s="86"/>
      <c r="D77" s="86"/>
    </row>
    <row r="78">
      <c r="B78" s="86"/>
      <c r="C78" s="86"/>
      <c r="D78" s="86"/>
    </row>
    <row r="79">
      <c r="B79" s="86"/>
      <c r="C79" s="86"/>
      <c r="D79" s="86"/>
    </row>
    <row r="80">
      <c r="B80" s="86"/>
      <c r="C80" s="86"/>
      <c r="D80" s="86"/>
    </row>
    <row r="81">
      <c r="B81" s="86"/>
      <c r="C81" s="86"/>
      <c r="D81" s="86"/>
    </row>
    <row r="82">
      <c r="B82" s="86"/>
      <c r="C82" s="86"/>
      <c r="D82" s="86"/>
    </row>
    <row r="83">
      <c r="B83" s="86"/>
      <c r="C83" s="86"/>
      <c r="D83" s="86"/>
    </row>
    <row r="84">
      <c r="B84" s="86"/>
      <c r="C84" s="86"/>
      <c r="D84" s="86"/>
    </row>
    <row r="85">
      <c r="B85" s="86"/>
      <c r="C85" s="86"/>
      <c r="D85" s="86"/>
    </row>
    <row r="86">
      <c r="B86" s="86"/>
      <c r="C86" s="86"/>
      <c r="D86" s="86"/>
    </row>
    <row r="87">
      <c r="B87" s="86"/>
      <c r="C87" s="86"/>
      <c r="D87" s="86"/>
    </row>
    <row r="88">
      <c r="B88" s="86"/>
      <c r="C88" s="86"/>
      <c r="D88" s="86"/>
    </row>
    <row r="89">
      <c r="B89" s="86"/>
      <c r="C89" s="86"/>
      <c r="D89" s="86"/>
    </row>
    <row r="90">
      <c r="B90" s="86"/>
      <c r="C90" s="86"/>
      <c r="D90" s="86"/>
    </row>
    <row r="91">
      <c r="B91" s="86"/>
      <c r="C91" s="86"/>
      <c r="D91" s="86"/>
    </row>
    <row r="92">
      <c r="B92" s="86"/>
      <c r="C92" s="86"/>
      <c r="D92" s="86"/>
    </row>
    <row r="93">
      <c r="B93" s="86"/>
      <c r="C93" s="86"/>
      <c r="D93" s="86"/>
    </row>
    <row r="94">
      <c r="B94" s="86"/>
      <c r="C94" s="86"/>
      <c r="D94" s="86"/>
    </row>
    <row r="95">
      <c r="B95" s="86"/>
      <c r="C95" s="86"/>
      <c r="D95" s="86"/>
    </row>
    <row r="96">
      <c r="B96" s="86"/>
      <c r="C96" s="86"/>
      <c r="D96" s="86"/>
    </row>
    <row r="97">
      <c r="B97" s="86"/>
      <c r="C97" s="86"/>
      <c r="D97" s="86"/>
    </row>
    <row r="98">
      <c r="B98" s="86"/>
      <c r="C98" s="86"/>
      <c r="D98" s="86"/>
    </row>
    <row r="99">
      <c r="B99" s="86"/>
      <c r="C99" s="86"/>
      <c r="D99" s="86"/>
    </row>
    <row r="100">
      <c r="B100" s="86"/>
      <c r="C100" s="86"/>
      <c r="D100" s="86"/>
    </row>
    <row r="101">
      <c r="B101" s="86"/>
      <c r="C101" s="86"/>
      <c r="D101" s="86"/>
    </row>
    <row r="102">
      <c r="B102" s="86"/>
      <c r="C102" s="86"/>
      <c r="D102" s="86"/>
    </row>
    <row r="103">
      <c r="B103" s="86"/>
      <c r="C103" s="86"/>
      <c r="D103" s="86"/>
    </row>
    <row r="104">
      <c r="B104" s="86"/>
      <c r="C104" s="86"/>
      <c r="D104" s="86"/>
    </row>
    <row r="105">
      <c r="B105" s="86"/>
      <c r="C105" s="86"/>
      <c r="D105" s="86"/>
    </row>
    <row r="106">
      <c r="B106" s="86"/>
      <c r="C106" s="86"/>
      <c r="D106" s="86"/>
    </row>
    <row r="107">
      <c r="B107" s="86"/>
      <c r="C107" s="86"/>
      <c r="D107" s="86"/>
    </row>
    <row r="108">
      <c r="B108" s="86"/>
      <c r="C108" s="86"/>
      <c r="D108" s="86"/>
    </row>
    <row r="109">
      <c r="B109" s="86"/>
      <c r="C109" s="86"/>
      <c r="D109" s="86"/>
    </row>
    <row r="110">
      <c r="B110" s="86"/>
      <c r="C110" s="86"/>
      <c r="D110" s="86"/>
    </row>
    <row r="111">
      <c r="B111" s="86"/>
      <c r="C111" s="86"/>
      <c r="D111" s="86"/>
    </row>
    <row r="112">
      <c r="B112" s="86"/>
      <c r="C112" s="86"/>
      <c r="D112" s="86"/>
    </row>
    <row r="113">
      <c r="B113" s="86"/>
      <c r="C113" s="86"/>
      <c r="D113" s="86"/>
    </row>
    <row r="114">
      <c r="B114" s="86"/>
      <c r="C114" s="86"/>
      <c r="D114" s="86"/>
    </row>
    <row r="115">
      <c r="B115" s="86"/>
      <c r="C115" s="86"/>
      <c r="D115" s="86"/>
    </row>
    <row r="116">
      <c r="B116" s="86"/>
      <c r="C116" s="86"/>
      <c r="D116" s="86"/>
    </row>
    <row r="117">
      <c r="B117" s="86"/>
      <c r="C117" s="86"/>
      <c r="D117" s="86"/>
    </row>
    <row r="118">
      <c r="B118" s="86"/>
      <c r="C118" s="86"/>
      <c r="D118" s="86"/>
    </row>
    <row r="119">
      <c r="B119" s="86"/>
      <c r="C119" s="86"/>
      <c r="D119" s="86"/>
    </row>
    <row r="120">
      <c r="B120" s="86"/>
      <c r="C120" s="86"/>
      <c r="D120" s="86"/>
    </row>
    <row r="121">
      <c r="B121" s="86"/>
      <c r="C121" s="86"/>
      <c r="D121" s="86"/>
    </row>
    <row r="122">
      <c r="B122" s="86"/>
      <c r="C122" s="86"/>
      <c r="D122" s="86"/>
    </row>
    <row r="123">
      <c r="B123" s="86"/>
      <c r="C123" s="86"/>
      <c r="D123" s="86"/>
    </row>
    <row r="124">
      <c r="B124" s="86"/>
      <c r="C124" s="86"/>
      <c r="D124" s="86"/>
    </row>
    <row r="125">
      <c r="B125" s="86"/>
      <c r="C125" s="86"/>
      <c r="D125" s="86"/>
    </row>
    <row r="126">
      <c r="B126" s="86"/>
      <c r="C126" s="86"/>
      <c r="D126" s="86"/>
    </row>
    <row r="127">
      <c r="B127" s="86"/>
      <c r="C127" s="86"/>
      <c r="D127" s="86"/>
    </row>
    <row r="128">
      <c r="B128" s="86"/>
      <c r="C128" s="86"/>
      <c r="D128" s="86"/>
    </row>
    <row r="129">
      <c r="B129" s="86"/>
      <c r="C129" s="86"/>
      <c r="D129" s="86"/>
    </row>
    <row r="130">
      <c r="B130" s="86"/>
      <c r="C130" s="86"/>
      <c r="D130" s="86"/>
    </row>
    <row r="131">
      <c r="B131" s="86"/>
      <c r="C131" s="86"/>
      <c r="D131" s="86"/>
    </row>
    <row r="132">
      <c r="B132" s="86"/>
      <c r="C132" s="86"/>
      <c r="D132" s="86"/>
    </row>
    <row r="133">
      <c r="B133" s="86"/>
      <c r="C133" s="86"/>
      <c r="D133" s="86"/>
    </row>
    <row r="134">
      <c r="B134" s="86"/>
      <c r="C134" s="86"/>
      <c r="D134" s="86"/>
    </row>
    <row r="135">
      <c r="B135" s="86"/>
      <c r="C135" s="86"/>
      <c r="D135" s="86"/>
    </row>
    <row r="136">
      <c r="B136" s="86"/>
      <c r="C136" s="86"/>
      <c r="D136" s="86"/>
    </row>
    <row r="137">
      <c r="B137" s="86"/>
      <c r="C137" s="86"/>
      <c r="D137" s="86"/>
    </row>
    <row r="138">
      <c r="B138" s="86"/>
      <c r="C138" s="86"/>
      <c r="D138" s="86"/>
    </row>
    <row r="139">
      <c r="B139" s="86"/>
      <c r="C139" s="86"/>
      <c r="D139" s="86"/>
    </row>
    <row r="140">
      <c r="B140" s="86"/>
      <c r="C140" s="86"/>
      <c r="D140" s="86"/>
    </row>
    <row r="141">
      <c r="B141" s="86"/>
      <c r="C141" s="86"/>
      <c r="D141" s="86"/>
    </row>
    <row r="142">
      <c r="B142" s="86"/>
      <c r="C142" s="86"/>
      <c r="D142" s="86"/>
    </row>
    <row r="143">
      <c r="B143" s="86"/>
      <c r="C143" s="86"/>
      <c r="D143" s="86"/>
    </row>
    <row r="144">
      <c r="B144" s="86"/>
      <c r="C144" s="86"/>
      <c r="D144" s="86"/>
    </row>
    <row r="145">
      <c r="B145" s="86"/>
      <c r="C145" s="86"/>
      <c r="D145" s="86"/>
    </row>
    <row r="146">
      <c r="B146" s="86"/>
      <c r="C146" s="86"/>
      <c r="D146" s="86"/>
    </row>
    <row r="147">
      <c r="B147" s="86"/>
      <c r="C147" s="86"/>
      <c r="D147" s="86"/>
    </row>
    <row r="148">
      <c r="B148" s="86"/>
      <c r="C148" s="86"/>
      <c r="D148" s="86"/>
    </row>
    <row r="149">
      <c r="B149" s="86"/>
      <c r="C149" s="86"/>
      <c r="D149" s="86"/>
    </row>
    <row r="150">
      <c r="B150" s="86"/>
      <c r="C150" s="86"/>
      <c r="D150" s="86"/>
    </row>
    <row r="151">
      <c r="B151" s="86"/>
      <c r="C151" s="86"/>
      <c r="D151" s="86"/>
    </row>
    <row r="152">
      <c r="B152" s="86"/>
      <c r="C152" s="86"/>
      <c r="D152" s="86"/>
    </row>
    <row r="153">
      <c r="B153" s="86"/>
      <c r="C153" s="86"/>
      <c r="D153" s="86"/>
    </row>
    <row r="154">
      <c r="B154" s="86"/>
      <c r="C154" s="86"/>
      <c r="D154" s="86"/>
    </row>
    <row r="155">
      <c r="B155" s="86"/>
      <c r="C155" s="86"/>
      <c r="D155" s="86"/>
    </row>
    <row r="156">
      <c r="B156" s="86"/>
      <c r="C156" s="86"/>
      <c r="D156" s="86"/>
    </row>
    <row r="157">
      <c r="B157" s="86"/>
      <c r="C157" s="86"/>
      <c r="D157" s="86"/>
    </row>
    <row r="158">
      <c r="B158" s="86"/>
      <c r="C158" s="86"/>
      <c r="D158" s="86"/>
    </row>
    <row r="159">
      <c r="B159" s="86"/>
      <c r="C159" s="86"/>
      <c r="D159" s="86"/>
    </row>
    <row r="160">
      <c r="B160" s="86"/>
      <c r="C160" s="86"/>
      <c r="D160" s="86"/>
    </row>
    <row r="161">
      <c r="B161" s="86"/>
      <c r="C161" s="86"/>
      <c r="D161" s="86"/>
    </row>
    <row r="162">
      <c r="B162" s="86"/>
      <c r="C162" s="86"/>
      <c r="D162" s="86"/>
    </row>
    <row r="163">
      <c r="B163" s="86"/>
      <c r="C163" s="86"/>
      <c r="D163" s="86"/>
    </row>
    <row r="164">
      <c r="B164" s="86"/>
      <c r="C164" s="86"/>
      <c r="D164" s="86"/>
    </row>
    <row r="165">
      <c r="B165" s="86"/>
      <c r="C165" s="86"/>
      <c r="D165" s="86"/>
    </row>
    <row r="166">
      <c r="B166" s="86"/>
      <c r="C166" s="86"/>
      <c r="D166" s="86"/>
    </row>
    <row r="167">
      <c r="B167" s="86"/>
      <c r="C167" s="86"/>
      <c r="D167" s="86"/>
    </row>
    <row r="168">
      <c r="B168" s="86"/>
      <c r="C168" s="86"/>
      <c r="D168" s="86"/>
    </row>
    <row r="169">
      <c r="B169" s="86"/>
      <c r="C169" s="86"/>
      <c r="D169" s="86"/>
    </row>
    <row r="170">
      <c r="B170" s="86"/>
      <c r="C170" s="86"/>
      <c r="D170" s="86"/>
    </row>
    <row r="171">
      <c r="B171" s="86"/>
      <c r="C171" s="86"/>
      <c r="D171" s="86"/>
    </row>
    <row r="172">
      <c r="B172" s="86"/>
      <c r="C172" s="86"/>
      <c r="D172" s="86"/>
    </row>
    <row r="173">
      <c r="B173" s="86"/>
      <c r="C173" s="86"/>
      <c r="D173" s="86"/>
    </row>
    <row r="174">
      <c r="B174" s="86"/>
      <c r="C174" s="86"/>
      <c r="D174" s="86"/>
    </row>
    <row r="175">
      <c r="B175" s="86"/>
      <c r="C175" s="86"/>
      <c r="D175" s="86"/>
    </row>
    <row r="176">
      <c r="B176" s="86"/>
      <c r="C176" s="86"/>
      <c r="D176" s="86"/>
    </row>
    <row r="177">
      <c r="B177" s="86"/>
      <c r="C177" s="86"/>
      <c r="D177" s="86"/>
    </row>
    <row r="178">
      <c r="B178" s="86"/>
      <c r="C178" s="86"/>
      <c r="D178" s="86"/>
    </row>
    <row r="179">
      <c r="B179" s="86"/>
      <c r="C179" s="86"/>
      <c r="D179" s="86"/>
    </row>
    <row r="180">
      <c r="B180" s="86"/>
      <c r="C180" s="86"/>
      <c r="D180" s="86"/>
    </row>
    <row r="181">
      <c r="B181" s="86"/>
      <c r="C181" s="86"/>
      <c r="D181" s="86"/>
    </row>
    <row r="182">
      <c r="B182" s="86"/>
      <c r="C182" s="86"/>
      <c r="D182" s="86"/>
    </row>
    <row r="183">
      <c r="B183" s="86"/>
      <c r="C183" s="86"/>
      <c r="D183" s="86"/>
    </row>
    <row r="184">
      <c r="B184" s="86"/>
      <c r="C184" s="86"/>
      <c r="D184" s="86"/>
    </row>
    <row r="185">
      <c r="B185" s="86"/>
      <c r="C185" s="86"/>
      <c r="D185" s="86"/>
    </row>
    <row r="186">
      <c r="B186" s="86"/>
      <c r="C186" s="86"/>
      <c r="D186" s="86"/>
    </row>
    <row r="187">
      <c r="B187" s="86"/>
      <c r="C187" s="86"/>
      <c r="D187" s="86"/>
    </row>
    <row r="188">
      <c r="B188" s="86"/>
      <c r="C188" s="86"/>
      <c r="D188" s="86"/>
    </row>
    <row r="189">
      <c r="B189" s="86"/>
      <c r="C189" s="86"/>
      <c r="D189" s="86"/>
    </row>
    <row r="190">
      <c r="B190" s="86"/>
      <c r="C190" s="86"/>
      <c r="D190" s="86"/>
    </row>
    <row r="191">
      <c r="B191" s="86"/>
      <c r="C191" s="86"/>
      <c r="D191" s="86"/>
    </row>
    <row r="192">
      <c r="B192" s="86"/>
      <c r="C192" s="86"/>
      <c r="D192" s="86"/>
    </row>
    <row r="193">
      <c r="B193" s="86"/>
      <c r="C193" s="86"/>
      <c r="D193" s="86"/>
    </row>
    <row r="194">
      <c r="B194" s="86"/>
      <c r="C194" s="86"/>
      <c r="D194" s="86"/>
    </row>
    <row r="195">
      <c r="B195" s="86"/>
      <c r="C195" s="86"/>
      <c r="D195" s="86"/>
    </row>
    <row r="196">
      <c r="B196" s="86"/>
      <c r="C196" s="86"/>
      <c r="D196" s="86"/>
    </row>
    <row r="197">
      <c r="B197" s="86"/>
      <c r="C197" s="86"/>
      <c r="D197" s="86"/>
    </row>
    <row r="198">
      <c r="B198" s="86"/>
      <c r="C198" s="86"/>
      <c r="D198" s="86"/>
    </row>
    <row r="199">
      <c r="B199" s="86"/>
      <c r="C199" s="86"/>
      <c r="D199" s="86"/>
    </row>
    <row r="200">
      <c r="B200" s="86"/>
      <c r="C200" s="86"/>
      <c r="D200" s="86"/>
    </row>
    <row r="201">
      <c r="B201" s="86"/>
      <c r="C201" s="86"/>
      <c r="D201" s="86"/>
    </row>
    <row r="202">
      <c r="B202" s="86"/>
      <c r="C202" s="86"/>
      <c r="D202" s="86"/>
    </row>
    <row r="203">
      <c r="B203" s="86"/>
      <c r="C203" s="86"/>
      <c r="D203" s="86"/>
    </row>
    <row r="204">
      <c r="B204" s="86"/>
      <c r="C204" s="86"/>
      <c r="D204" s="86"/>
    </row>
    <row r="205">
      <c r="B205" s="86"/>
      <c r="C205" s="86"/>
      <c r="D205" s="86"/>
    </row>
    <row r="206">
      <c r="B206" s="86"/>
      <c r="C206" s="86"/>
      <c r="D206" s="86"/>
    </row>
    <row r="207">
      <c r="B207" s="86"/>
      <c r="C207" s="86"/>
      <c r="D207" s="86"/>
    </row>
    <row r="208">
      <c r="B208" s="86"/>
      <c r="C208" s="86"/>
      <c r="D208" s="86"/>
    </row>
    <row r="209">
      <c r="B209" s="86"/>
      <c r="C209" s="86"/>
      <c r="D209" s="86"/>
    </row>
    <row r="210">
      <c r="B210" s="86"/>
      <c r="C210" s="86"/>
      <c r="D210" s="86"/>
    </row>
    <row r="211">
      <c r="B211" s="86"/>
      <c r="C211" s="86"/>
      <c r="D211" s="86"/>
    </row>
    <row r="212">
      <c r="B212" s="86"/>
      <c r="C212" s="86"/>
      <c r="D212" s="86"/>
    </row>
    <row r="213">
      <c r="B213" s="86"/>
      <c r="C213" s="86"/>
      <c r="D213" s="86"/>
    </row>
    <row r="214">
      <c r="B214" s="86"/>
      <c r="C214" s="86"/>
      <c r="D214" s="86"/>
    </row>
    <row r="215">
      <c r="B215" s="86"/>
      <c r="C215" s="86"/>
      <c r="D215" s="86"/>
    </row>
    <row r="216">
      <c r="B216" s="86"/>
      <c r="C216" s="86"/>
      <c r="D216" s="86"/>
    </row>
    <row r="217">
      <c r="B217" s="86"/>
      <c r="C217" s="86"/>
      <c r="D217" s="86"/>
    </row>
    <row r="218">
      <c r="B218" s="86"/>
      <c r="C218" s="86"/>
      <c r="D218" s="86"/>
    </row>
    <row r="219">
      <c r="B219" s="86"/>
      <c r="C219" s="86"/>
      <c r="D219" s="86"/>
    </row>
    <row r="220">
      <c r="B220" s="86"/>
      <c r="C220" s="86"/>
      <c r="D220" s="86"/>
    </row>
    <row r="221">
      <c r="B221" s="86"/>
      <c r="C221" s="86"/>
      <c r="D221" s="86"/>
    </row>
    <row r="222">
      <c r="B222" s="86"/>
      <c r="C222" s="86"/>
      <c r="D222" s="86"/>
    </row>
    <row r="223">
      <c r="B223" s="86"/>
      <c r="C223" s="86"/>
      <c r="D223" s="86"/>
    </row>
    <row r="224">
      <c r="B224" s="86"/>
      <c r="C224" s="86"/>
      <c r="D224" s="86"/>
    </row>
    <row r="225">
      <c r="B225" s="86"/>
      <c r="C225" s="86"/>
      <c r="D225" s="86"/>
    </row>
    <row r="226">
      <c r="B226" s="86"/>
      <c r="C226" s="86"/>
      <c r="D226" s="86"/>
    </row>
    <row r="227">
      <c r="B227" s="86"/>
      <c r="C227" s="86"/>
      <c r="D227" s="86"/>
    </row>
    <row r="228">
      <c r="B228" s="86"/>
      <c r="C228" s="86"/>
      <c r="D228" s="86"/>
    </row>
    <row r="229">
      <c r="B229" s="86"/>
      <c r="C229" s="86"/>
      <c r="D229" s="86"/>
    </row>
    <row r="230">
      <c r="B230" s="86"/>
      <c r="C230" s="86"/>
      <c r="D230" s="86"/>
    </row>
    <row r="231">
      <c r="B231" s="86"/>
      <c r="C231" s="86"/>
      <c r="D231" s="86"/>
    </row>
    <row r="232">
      <c r="B232" s="86"/>
      <c r="C232" s="86"/>
      <c r="D232" s="86"/>
    </row>
    <row r="233">
      <c r="B233" s="86"/>
      <c r="C233" s="86"/>
      <c r="D233" s="86"/>
    </row>
    <row r="234">
      <c r="B234" s="86"/>
      <c r="C234" s="86"/>
      <c r="D234" s="86"/>
    </row>
    <row r="235">
      <c r="B235" s="86"/>
      <c r="C235" s="86"/>
      <c r="D235" s="86"/>
    </row>
    <row r="236">
      <c r="B236" s="86"/>
      <c r="C236" s="86"/>
      <c r="D236" s="86"/>
    </row>
    <row r="237">
      <c r="B237" s="86"/>
      <c r="C237" s="86"/>
      <c r="D237" s="86"/>
    </row>
    <row r="238">
      <c r="B238" s="86"/>
      <c r="C238" s="86"/>
      <c r="D238" s="86"/>
    </row>
    <row r="239">
      <c r="B239" s="86"/>
      <c r="C239" s="86"/>
      <c r="D239" s="86"/>
    </row>
    <row r="240">
      <c r="B240" s="86"/>
      <c r="C240" s="86"/>
      <c r="D240" s="86"/>
    </row>
    <row r="241">
      <c r="B241" s="86"/>
      <c r="C241" s="86"/>
      <c r="D241" s="86"/>
    </row>
    <row r="242">
      <c r="B242" s="86"/>
      <c r="C242" s="86"/>
      <c r="D242" s="86"/>
    </row>
    <row r="243">
      <c r="B243" s="86"/>
      <c r="C243" s="86"/>
      <c r="D243" s="86"/>
    </row>
    <row r="244">
      <c r="B244" s="86"/>
      <c r="C244" s="86"/>
      <c r="D244" s="86"/>
    </row>
    <row r="245">
      <c r="B245" s="86"/>
      <c r="C245" s="86"/>
      <c r="D245" s="86"/>
    </row>
    <row r="246">
      <c r="B246" s="86"/>
      <c r="C246" s="86"/>
      <c r="D246" s="86"/>
    </row>
    <row r="247">
      <c r="B247" s="86"/>
      <c r="C247" s="86"/>
      <c r="D247" s="86"/>
    </row>
    <row r="248">
      <c r="B248" s="86"/>
      <c r="C248" s="86"/>
      <c r="D248" s="86"/>
    </row>
    <row r="249">
      <c r="B249" s="86"/>
      <c r="C249" s="86"/>
      <c r="D249" s="86"/>
    </row>
    <row r="250">
      <c r="B250" s="86"/>
      <c r="C250" s="86"/>
      <c r="D250" s="86"/>
    </row>
    <row r="251">
      <c r="B251" s="86"/>
      <c r="C251" s="86"/>
      <c r="D251" s="86"/>
    </row>
    <row r="252">
      <c r="B252" s="86"/>
      <c r="C252" s="86"/>
      <c r="D252" s="86"/>
    </row>
    <row r="253">
      <c r="B253" s="86"/>
      <c r="C253" s="86"/>
      <c r="D253" s="86"/>
    </row>
    <row r="254">
      <c r="B254" s="86"/>
      <c r="C254" s="86"/>
      <c r="D254" s="86"/>
    </row>
    <row r="255">
      <c r="B255" s="86"/>
      <c r="C255" s="86"/>
      <c r="D255" s="86"/>
    </row>
    <row r="256">
      <c r="B256" s="86"/>
      <c r="C256" s="86"/>
      <c r="D256" s="86"/>
    </row>
    <row r="257">
      <c r="B257" s="86"/>
      <c r="C257" s="86"/>
      <c r="D257" s="86"/>
    </row>
    <row r="258">
      <c r="B258" s="86"/>
      <c r="C258" s="86"/>
      <c r="D258" s="86"/>
    </row>
    <row r="259">
      <c r="B259" s="86"/>
      <c r="C259" s="86"/>
      <c r="D259" s="86"/>
    </row>
    <row r="260">
      <c r="B260" s="86"/>
      <c r="C260" s="86"/>
      <c r="D260" s="86"/>
    </row>
    <row r="261">
      <c r="B261" s="86"/>
      <c r="C261" s="86"/>
      <c r="D261" s="86"/>
    </row>
    <row r="262">
      <c r="B262" s="86"/>
      <c r="C262" s="86"/>
      <c r="D262" s="86"/>
    </row>
    <row r="263">
      <c r="B263" s="86"/>
      <c r="C263" s="86"/>
      <c r="D263" s="86"/>
    </row>
    <row r="264">
      <c r="B264" s="86"/>
      <c r="C264" s="86"/>
      <c r="D264" s="86"/>
    </row>
    <row r="265">
      <c r="B265" s="86"/>
      <c r="C265" s="86"/>
      <c r="D265" s="86"/>
    </row>
    <row r="266">
      <c r="B266" s="86"/>
      <c r="C266" s="86"/>
      <c r="D266" s="86"/>
    </row>
    <row r="267">
      <c r="B267" s="86"/>
      <c r="C267" s="86"/>
      <c r="D267" s="86"/>
    </row>
    <row r="268">
      <c r="B268" s="86"/>
      <c r="C268" s="86"/>
      <c r="D268" s="86"/>
    </row>
    <row r="269">
      <c r="B269" s="86"/>
      <c r="C269" s="86"/>
      <c r="D269" s="86"/>
    </row>
    <row r="270">
      <c r="B270" s="86"/>
      <c r="C270" s="86"/>
      <c r="D270" s="86"/>
    </row>
    <row r="271">
      <c r="B271" s="86"/>
      <c r="C271" s="86"/>
      <c r="D271" s="86"/>
    </row>
    <row r="272">
      <c r="B272" s="86"/>
      <c r="C272" s="86"/>
      <c r="D272" s="86"/>
    </row>
    <row r="273">
      <c r="B273" s="86"/>
      <c r="C273" s="86"/>
      <c r="D273" s="86"/>
    </row>
    <row r="274">
      <c r="B274" s="86"/>
      <c r="C274" s="86"/>
      <c r="D274" s="86"/>
    </row>
    <row r="275">
      <c r="B275" s="86"/>
      <c r="C275" s="86"/>
      <c r="D275" s="86"/>
    </row>
    <row r="276">
      <c r="B276" s="86"/>
      <c r="C276" s="86"/>
      <c r="D276" s="86"/>
    </row>
    <row r="277">
      <c r="B277" s="86"/>
      <c r="C277" s="86"/>
      <c r="D277" s="86"/>
    </row>
    <row r="278">
      <c r="B278" s="86"/>
      <c r="C278" s="86"/>
      <c r="D278" s="86"/>
    </row>
    <row r="279">
      <c r="B279" s="86"/>
      <c r="C279" s="86"/>
      <c r="D279" s="86"/>
    </row>
    <row r="280">
      <c r="B280" s="86"/>
      <c r="C280" s="86"/>
      <c r="D280" s="86"/>
    </row>
    <row r="281">
      <c r="B281" s="86"/>
      <c r="C281" s="86"/>
      <c r="D281" s="86"/>
    </row>
    <row r="282">
      <c r="B282" s="86"/>
      <c r="C282" s="86"/>
      <c r="D282" s="86"/>
    </row>
    <row r="283">
      <c r="B283" s="86"/>
      <c r="C283" s="86"/>
      <c r="D283" s="86"/>
    </row>
    <row r="284">
      <c r="B284" s="86"/>
      <c r="C284" s="86"/>
      <c r="D284" s="86"/>
    </row>
    <row r="285">
      <c r="B285" s="86"/>
      <c r="C285" s="86"/>
      <c r="D285" s="86"/>
    </row>
    <row r="286">
      <c r="B286" s="86"/>
      <c r="C286" s="86"/>
      <c r="D286" s="86"/>
    </row>
    <row r="287">
      <c r="B287" s="86"/>
      <c r="C287" s="86"/>
      <c r="D287" s="86"/>
    </row>
    <row r="288">
      <c r="B288" s="86"/>
      <c r="C288" s="86"/>
      <c r="D288" s="86"/>
    </row>
    <row r="289">
      <c r="B289" s="86"/>
      <c r="C289" s="86"/>
      <c r="D289" s="86"/>
    </row>
    <row r="290">
      <c r="B290" s="86"/>
      <c r="C290" s="86"/>
      <c r="D290" s="86"/>
    </row>
    <row r="291">
      <c r="B291" s="86"/>
      <c r="C291" s="86"/>
      <c r="D291" s="86"/>
    </row>
    <row r="292">
      <c r="B292" s="86"/>
      <c r="C292" s="86"/>
      <c r="D292" s="86"/>
    </row>
    <row r="293">
      <c r="B293" s="86"/>
      <c r="C293" s="86"/>
      <c r="D293" s="86"/>
    </row>
    <row r="294">
      <c r="B294" s="86"/>
      <c r="C294" s="86"/>
      <c r="D294" s="86"/>
    </row>
    <row r="295">
      <c r="B295" s="86"/>
      <c r="C295" s="86"/>
      <c r="D295" s="86"/>
    </row>
    <row r="296">
      <c r="B296" s="86"/>
      <c r="C296" s="86"/>
      <c r="D296" s="86"/>
    </row>
    <row r="297">
      <c r="B297" s="86"/>
      <c r="C297" s="86"/>
      <c r="D297" s="86"/>
    </row>
    <row r="298">
      <c r="B298" s="86"/>
      <c r="C298" s="86"/>
      <c r="D298" s="86"/>
    </row>
    <row r="299">
      <c r="B299" s="86"/>
      <c r="C299" s="86"/>
      <c r="D299" s="86"/>
    </row>
    <row r="300">
      <c r="B300" s="86"/>
      <c r="C300" s="86"/>
      <c r="D300" s="86"/>
    </row>
    <row r="301">
      <c r="B301" s="86"/>
      <c r="C301" s="86"/>
      <c r="D301" s="86"/>
    </row>
    <row r="302">
      <c r="B302" s="86"/>
      <c r="C302" s="86"/>
      <c r="D302" s="86"/>
    </row>
    <row r="303">
      <c r="B303" s="86"/>
      <c r="C303" s="86"/>
      <c r="D303" s="86"/>
    </row>
    <row r="304">
      <c r="B304" s="86"/>
      <c r="C304" s="86"/>
      <c r="D304" s="86"/>
    </row>
    <row r="305">
      <c r="B305" s="86"/>
      <c r="C305" s="86"/>
      <c r="D305" s="86"/>
    </row>
    <row r="306">
      <c r="B306" s="86"/>
      <c r="C306" s="86"/>
      <c r="D306" s="86"/>
    </row>
    <row r="307">
      <c r="B307" s="86"/>
      <c r="C307" s="86"/>
      <c r="D307" s="86"/>
    </row>
    <row r="308">
      <c r="B308" s="86"/>
      <c r="C308" s="86"/>
      <c r="D308" s="86"/>
    </row>
    <row r="309">
      <c r="B309" s="86"/>
      <c r="C309" s="86"/>
      <c r="D309" s="86"/>
    </row>
    <row r="310">
      <c r="B310" s="86"/>
      <c r="C310" s="86"/>
      <c r="D310" s="86"/>
    </row>
    <row r="311">
      <c r="B311" s="86"/>
      <c r="C311" s="86"/>
      <c r="D311" s="86"/>
    </row>
    <row r="312">
      <c r="B312" s="86"/>
      <c r="C312" s="86"/>
      <c r="D312" s="86"/>
    </row>
    <row r="313">
      <c r="B313" s="86"/>
      <c r="C313" s="86"/>
      <c r="D313" s="86"/>
    </row>
    <row r="314">
      <c r="B314" s="86"/>
      <c r="C314" s="86"/>
      <c r="D314" s="86"/>
    </row>
    <row r="315">
      <c r="B315" s="86"/>
      <c r="C315" s="86"/>
      <c r="D315" s="86"/>
    </row>
    <row r="316">
      <c r="B316" s="86"/>
      <c r="C316" s="86"/>
      <c r="D316" s="86"/>
    </row>
    <row r="317">
      <c r="B317" s="86"/>
      <c r="C317" s="86"/>
      <c r="D317" s="86"/>
    </row>
    <row r="318">
      <c r="B318" s="86"/>
      <c r="C318" s="86"/>
      <c r="D318" s="86"/>
    </row>
    <row r="319">
      <c r="B319" s="86"/>
      <c r="C319" s="86"/>
      <c r="D319" s="86"/>
    </row>
    <row r="320">
      <c r="B320" s="86"/>
      <c r="C320" s="86"/>
      <c r="D320" s="86"/>
    </row>
    <row r="321">
      <c r="B321" s="86"/>
      <c r="C321" s="86"/>
      <c r="D321" s="86"/>
    </row>
    <row r="322">
      <c r="B322" s="86"/>
      <c r="C322" s="86"/>
      <c r="D322" s="86"/>
    </row>
    <row r="323">
      <c r="B323" s="86"/>
      <c r="C323" s="86"/>
      <c r="D323" s="86"/>
    </row>
    <row r="324">
      <c r="B324" s="86"/>
      <c r="C324" s="86"/>
      <c r="D324" s="86"/>
    </row>
    <row r="325">
      <c r="B325" s="86"/>
      <c r="C325" s="86"/>
      <c r="D325" s="86"/>
    </row>
    <row r="326">
      <c r="B326" s="86"/>
      <c r="C326" s="86"/>
      <c r="D326" s="86"/>
    </row>
    <row r="327">
      <c r="B327" s="86"/>
      <c r="C327" s="86"/>
      <c r="D327" s="86"/>
    </row>
    <row r="328">
      <c r="B328" s="86"/>
      <c r="C328" s="86"/>
      <c r="D328" s="86"/>
    </row>
    <row r="329">
      <c r="B329" s="86"/>
      <c r="C329" s="86"/>
      <c r="D329" s="86"/>
    </row>
    <row r="330">
      <c r="B330" s="86"/>
      <c r="C330" s="86"/>
      <c r="D330" s="86"/>
    </row>
    <row r="331">
      <c r="B331" s="86"/>
      <c r="C331" s="86"/>
      <c r="D331" s="86"/>
    </row>
    <row r="332">
      <c r="B332" s="86"/>
      <c r="C332" s="86"/>
      <c r="D332" s="86"/>
    </row>
    <row r="333">
      <c r="B333" s="86"/>
      <c r="C333" s="86"/>
      <c r="D333" s="86"/>
    </row>
    <row r="334">
      <c r="B334" s="86"/>
      <c r="C334" s="86"/>
      <c r="D334" s="86"/>
    </row>
    <row r="335">
      <c r="B335" s="86"/>
      <c r="C335" s="86"/>
      <c r="D335" s="86"/>
    </row>
    <row r="336">
      <c r="B336" s="86"/>
      <c r="C336" s="86"/>
      <c r="D336" s="86"/>
    </row>
    <row r="337">
      <c r="B337" s="86"/>
      <c r="C337" s="86"/>
      <c r="D337" s="86"/>
    </row>
    <row r="338">
      <c r="B338" s="86"/>
      <c r="C338" s="86"/>
      <c r="D338" s="86"/>
    </row>
    <row r="339">
      <c r="B339" s="86"/>
      <c r="C339" s="86"/>
      <c r="D339" s="86"/>
    </row>
    <row r="340">
      <c r="B340" s="86"/>
      <c r="C340" s="86"/>
      <c r="D340" s="86"/>
    </row>
    <row r="341">
      <c r="B341" s="86"/>
      <c r="C341" s="86"/>
      <c r="D341" s="86"/>
    </row>
    <row r="342">
      <c r="B342" s="86"/>
      <c r="C342" s="86"/>
      <c r="D342" s="86"/>
    </row>
    <row r="343">
      <c r="B343" s="86"/>
      <c r="C343" s="86"/>
      <c r="D343" s="86"/>
    </row>
    <row r="344">
      <c r="B344" s="86"/>
      <c r="C344" s="86"/>
      <c r="D344" s="86"/>
    </row>
    <row r="345">
      <c r="B345" s="86"/>
      <c r="C345" s="86"/>
      <c r="D345" s="86"/>
    </row>
    <row r="346">
      <c r="B346" s="86"/>
      <c r="C346" s="86"/>
      <c r="D346" s="86"/>
    </row>
    <row r="347">
      <c r="B347" s="86"/>
      <c r="C347" s="86"/>
      <c r="D347" s="86"/>
    </row>
    <row r="348">
      <c r="B348" s="86"/>
      <c r="C348" s="86"/>
      <c r="D348" s="86"/>
    </row>
    <row r="349">
      <c r="B349" s="86"/>
      <c r="C349" s="86"/>
      <c r="D349" s="86"/>
    </row>
    <row r="350">
      <c r="B350" s="86"/>
      <c r="C350" s="86"/>
      <c r="D350" s="86"/>
    </row>
    <row r="351">
      <c r="B351" s="86"/>
      <c r="C351" s="86"/>
      <c r="D351" s="86"/>
    </row>
    <row r="352">
      <c r="B352" s="86"/>
      <c r="C352" s="86"/>
      <c r="D352" s="86"/>
    </row>
    <row r="353">
      <c r="B353" s="86"/>
      <c r="C353" s="86"/>
      <c r="D353" s="86"/>
    </row>
    <row r="354">
      <c r="B354" s="86"/>
      <c r="C354" s="86"/>
      <c r="D354" s="86"/>
    </row>
    <row r="355">
      <c r="B355" s="86"/>
      <c r="C355" s="86"/>
      <c r="D355" s="86"/>
    </row>
    <row r="356">
      <c r="B356" s="86"/>
      <c r="C356" s="86"/>
      <c r="D356" s="86"/>
    </row>
    <row r="357">
      <c r="B357" s="86"/>
      <c r="C357" s="86"/>
      <c r="D357" s="86"/>
    </row>
    <row r="358">
      <c r="B358" s="86"/>
      <c r="C358" s="86"/>
      <c r="D358" s="86"/>
    </row>
    <row r="359">
      <c r="B359" s="86"/>
      <c r="C359" s="86"/>
      <c r="D359" s="86"/>
    </row>
    <row r="360">
      <c r="B360" s="86"/>
      <c r="C360" s="86"/>
      <c r="D360" s="86"/>
    </row>
    <row r="361">
      <c r="B361" s="86"/>
      <c r="C361" s="86"/>
      <c r="D361" s="86"/>
    </row>
    <row r="362">
      <c r="B362" s="86"/>
      <c r="C362" s="86"/>
      <c r="D362" s="86"/>
    </row>
    <row r="363">
      <c r="B363" s="86"/>
      <c r="C363" s="86"/>
      <c r="D363" s="86"/>
    </row>
    <row r="364">
      <c r="B364" s="86"/>
      <c r="C364" s="86"/>
      <c r="D364" s="86"/>
    </row>
    <row r="365">
      <c r="B365" s="86"/>
      <c r="C365" s="86"/>
      <c r="D365" s="86"/>
    </row>
    <row r="366">
      <c r="B366" s="86"/>
      <c r="C366" s="86"/>
      <c r="D366" s="86"/>
    </row>
    <row r="367">
      <c r="B367" s="86"/>
      <c r="C367" s="86"/>
      <c r="D367" s="86"/>
    </row>
    <row r="368">
      <c r="B368" s="86"/>
      <c r="C368" s="86"/>
      <c r="D368" s="86"/>
    </row>
    <row r="369">
      <c r="B369" s="86"/>
      <c r="C369" s="86"/>
      <c r="D369" s="86"/>
    </row>
    <row r="370">
      <c r="B370" s="86"/>
      <c r="C370" s="86"/>
      <c r="D370" s="86"/>
    </row>
    <row r="371">
      <c r="B371" s="86"/>
      <c r="C371" s="86"/>
      <c r="D371" s="86"/>
    </row>
    <row r="372">
      <c r="B372" s="86"/>
      <c r="C372" s="86"/>
      <c r="D372" s="86"/>
    </row>
    <row r="373">
      <c r="B373" s="86"/>
      <c r="C373" s="86"/>
      <c r="D373" s="86"/>
    </row>
    <row r="374">
      <c r="B374" s="86"/>
      <c r="C374" s="86"/>
      <c r="D374" s="86"/>
    </row>
    <row r="375">
      <c r="B375" s="86"/>
      <c r="C375" s="86"/>
      <c r="D375" s="86"/>
    </row>
    <row r="376">
      <c r="B376" s="86"/>
      <c r="C376" s="86"/>
      <c r="D376" s="86"/>
    </row>
    <row r="377">
      <c r="B377" s="86"/>
      <c r="C377" s="86"/>
      <c r="D377" s="86"/>
    </row>
    <row r="378">
      <c r="B378" s="86"/>
      <c r="C378" s="86"/>
      <c r="D378" s="86"/>
    </row>
    <row r="379">
      <c r="B379" s="86"/>
      <c r="C379" s="86"/>
      <c r="D379" s="86"/>
    </row>
    <row r="380">
      <c r="B380" s="86"/>
      <c r="C380" s="86"/>
      <c r="D380" s="86"/>
    </row>
    <row r="381">
      <c r="B381" s="86"/>
      <c r="C381" s="86"/>
      <c r="D381" s="86"/>
    </row>
    <row r="382">
      <c r="B382" s="86"/>
      <c r="C382" s="86"/>
      <c r="D382" s="86"/>
    </row>
    <row r="383">
      <c r="B383" s="86"/>
      <c r="C383" s="86"/>
      <c r="D383" s="86"/>
    </row>
    <row r="384">
      <c r="B384" s="86"/>
      <c r="C384" s="86"/>
      <c r="D384" s="86"/>
    </row>
    <row r="385">
      <c r="B385" s="86"/>
      <c r="C385" s="86"/>
      <c r="D385" s="86"/>
    </row>
    <row r="386">
      <c r="B386" s="86"/>
      <c r="C386" s="86"/>
      <c r="D386" s="86"/>
    </row>
    <row r="387">
      <c r="B387" s="86"/>
      <c r="C387" s="86"/>
      <c r="D387" s="86"/>
    </row>
    <row r="388">
      <c r="B388" s="86"/>
      <c r="C388" s="86"/>
      <c r="D388" s="86"/>
    </row>
    <row r="389">
      <c r="B389" s="86"/>
      <c r="C389" s="86"/>
      <c r="D389" s="86"/>
    </row>
    <row r="390">
      <c r="B390" s="86"/>
      <c r="C390" s="86"/>
      <c r="D390" s="86"/>
    </row>
    <row r="391">
      <c r="B391" s="86"/>
      <c r="C391" s="86"/>
      <c r="D391" s="86"/>
    </row>
    <row r="392">
      <c r="B392" s="86"/>
      <c r="C392" s="86"/>
      <c r="D392" s="86"/>
    </row>
    <row r="393">
      <c r="B393" s="86"/>
      <c r="C393" s="86"/>
      <c r="D393" s="86"/>
    </row>
    <row r="394">
      <c r="B394" s="86"/>
      <c r="C394" s="86"/>
      <c r="D394" s="86"/>
    </row>
    <row r="395">
      <c r="B395" s="86"/>
      <c r="C395" s="86"/>
      <c r="D395" s="86"/>
    </row>
    <row r="396">
      <c r="B396" s="86"/>
      <c r="C396" s="86"/>
      <c r="D396" s="86"/>
    </row>
    <row r="397">
      <c r="B397" s="86"/>
      <c r="C397" s="86"/>
      <c r="D397" s="86"/>
    </row>
    <row r="398">
      <c r="B398" s="86"/>
      <c r="C398" s="86"/>
      <c r="D398" s="86"/>
    </row>
    <row r="399">
      <c r="B399" s="86"/>
      <c r="C399" s="86"/>
      <c r="D399" s="86"/>
    </row>
    <row r="400">
      <c r="B400" s="86"/>
      <c r="C400" s="86"/>
      <c r="D400" s="86"/>
    </row>
    <row r="401">
      <c r="B401" s="86"/>
      <c r="C401" s="86"/>
      <c r="D401" s="86"/>
    </row>
    <row r="402">
      <c r="B402" s="86"/>
      <c r="C402" s="86"/>
      <c r="D402" s="86"/>
    </row>
    <row r="403">
      <c r="B403" s="86"/>
      <c r="C403" s="86"/>
      <c r="D403" s="86"/>
    </row>
    <row r="404">
      <c r="B404" s="86"/>
      <c r="C404" s="86"/>
      <c r="D404" s="86"/>
    </row>
    <row r="405">
      <c r="B405" s="86"/>
      <c r="C405" s="86"/>
      <c r="D405" s="86"/>
    </row>
    <row r="406">
      <c r="B406" s="86"/>
      <c r="C406" s="86"/>
      <c r="D406" s="86"/>
    </row>
    <row r="407">
      <c r="B407" s="86"/>
      <c r="C407" s="86"/>
      <c r="D407" s="86"/>
    </row>
    <row r="408">
      <c r="B408" s="86"/>
      <c r="C408" s="86"/>
      <c r="D408" s="86"/>
    </row>
    <row r="409">
      <c r="B409" s="86"/>
      <c r="C409" s="86"/>
      <c r="D409" s="86"/>
    </row>
    <row r="410">
      <c r="B410" s="86"/>
      <c r="C410" s="86"/>
      <c r="D410" s="86"/>
    </row>
    <row r="411">
      <c r="B411" s="86"/>
      <c r="C411" s="86"/>
      <c r="D411" s="86"/>
    </row>
    <row r="412">
      <c r="B412" s="86"/>
      <c r="C412" s="86"/>
      <c r="D412" s="86"/>
    </row>
    <row r="413">
      <c r="B413" s="86"/>
      <c r="C413" s="86"/>
      <c r="D413" s="86"/>
    </row>
    <row r="414">
      <c r="B414" s="86"/>
      <c r="C414" s="86"/>
      <c r="D414" s="86"/>
    </row>
    <row r="415">
      <c r="B415" s="86"/>
      <c r="C415" s="86"/>
      <c r="D415" s="86"/>
    </row>
    <row r="416">
      <c r="B416" s="86"/>
      <c r="C416" s="86"/>
      <c r="D416" s="86"/>
    </row>
    <row r="417">
      <c r="B417" s="86"/>
      <c r="C417" s="86"/>
      <c r="D417" s="86"/>
    </row>
    <row r="418">
      <c r="B418" s="86"/>
      <c r="C418" s="86"/>
      <c r="D418" s="86"/>
    </row>
    <row r="419">
      <c r="B419" s="86"/>
      <c r="C419" s="86"/>
      <c r="D419" s="86"/>
    </row>
    <row r="420">
      <c r="B420" s="86"/>
      <c r="C420" s="86"/>
      <c r="D420" s="86"/>
    </row>
    <row r="421">
      <c r="B421" s="86"/>
      <c r="C421" s="86"/>
      <c r="D421" s="86"/>
    </row>
    <row r="422">
      <c r="B422" s="86"/>
      <c r="C422" s="86"/>
      <c r="D422" s="86"/>
    </row>
    <row r="423">
      <c r="B423" s="86"/>
      <c r="C423" s="86"/>
      <c r="D423" s="86"/>
    </row>
    <row r="424">
      <c r="B424" s="86"/>
      <c r="C424" s="86"/>
      <c r="D424" s="86"/>
    </row>
    <row r="425">
      <c r="B425" s="86"/>
      <c r="C425" s="86"/>
      <c r="D425" s="86"/>
    </row>
    <row r="426">
      <c r="B426" s="86"/>
      <c r="C426" s="86"/>
      <c r="D426" s="86"/>
    </row>
    <row r="427">
      <c r="B427" s="86"/>
      <c r="C427" s="86"/>
      <c r="D427" s="86"/>
    </row>
    <row r="428">
      <c r="B428" s="86"/>
      <c r="C428" s="86"/>
      <c r="D428" s="86"/>
    </row>
    <row r="429">
      <c r="B429" s="86"/>
      <c r="C429" s="86"/>
      <c r="D429" s="86"/>
    </row>
    <row r="430">
      <c r="B430" s="86"/>
      <c r="C430" s="86"/>
      <c r="D430" s="86"/>
    </row>
    <row r="431">
      <c r="B431" s="86"/>
      <c r="C431" s="86"/>
      <c r="D431" s="86"/>
    </row>
    <row r="432">
      <c r="B432" s="86"/>
      <c r="C432" s="86"/>
      <c r="D432" s="86"/>
    </row>
    <row r="433">
      <c r="B433" s="86"/>
      <c r="C433" s="86"/>
      <c r="D433" s="86"/>
    </row>
    <row r="434">
      <c r="B434" s="86"/>
      <c r="C434" s="86"/>
      <c r="D434" s="86"/>
    </row>
    <row r="435">
      <c r="B435" s="86"/>
      <c r="C435" s="86"/>
      <c r="D435" s="86"/>
    </row>
    <row r="436">
      <c r="B436" s="86"/>
      <c r="C436" s="86"/>
      <c r="D436" s="86"/>
    </row>
    <row r="437">
      <c r="B437" s="86"/>
      <c r="C437" s="86"/>
      <c r="D437" s="86"/>
    </row>
    <row r="438">
      <c r="B438" s="86"/>
      <c r="C438" s="86"/>
      <c r="D438" s="86"/>
    </row>
    <row r="439">
      <c r="B439" s="86"/>
      <c r="C439" s="86"/>
      <c r="D439" s="86"/>
    </row>
    <row r="440">
      <c r="B440" s="86"/>
      <c r="C440" s="86"/>
      <c r="D440" s="86"/>
    </row>
    <row r="441">
      <c r="B441" s="86"/>
      <c r="C441" s="86"/>
      <c r="D441" s="86"/>
    </row>
    <row r="442">
      <c r="B442" s="86"/>
      <c r="C442" s="86"/>
      <c r="D442" s="86"/>
    </row>
    <row r="443">
      <c r="B443" s="86"/>
      <c r="C443" s="86"/>
      <c r="D443" s="86"/>
    </row>
    <row r="444">
      <c r="B444" s="86"/>
      <c r="C444" s="86"/>
      <c r="D444" s="86"/>
    </row>
    <row r="445">
      <c r="B445" s="86"/>
      <c r="C445" s="86"/>
      <c r="D445" s="86"/>
    </row>
    <row r="446">
      <c r="B446" s="86"/>
      <c r="C446" s="86"/>
      <c r="D446" s="86"/>
    </row>
    <row r="447">
      <c r="B447" s="86"/>
      <c r="C447" s="86"/>
      <c r="D447" s="86"/>
    </row>
    <row r="448">
      <c r="B448" s="86"/>
      <c r="C448" s="86"/>
      <c r="D448" s="86"/>
    </row>
    <row r="449">
      <c r="B449" s="86"/>
      <c r="C449" s="86"/>
      <c r="D449" s="86"/>
    </row>
    <row r="450">
      <c r="B450" s="86"/>
      <c r="C450" s="86"/>
      <c r="D450" s="86"/>
    </row>
    <row r="451">
      <c r="B451" s="86"/>
      <c r="C451" s="86"/>
      <c r="D451" s="86"/>
    </row>
    <row r="452">
      <c r="B452" s="86"/>
      <c r="C452" s="86"/>
      <c r="D452" s="86"/>
    </row>
    <row r="453">
      <c r="B453" s="86"/>
      <c r="C453" s="86"/>
      <c r="D453" s="86"/>
    </row>
    <row r="454">
      <c r="B454" s="86"/>
      <c r="C454" s="86"/>
      <c r="D454" s="86"/>
    </row>
    <row r="455">
      <c r="B455" s="86"/>
      <c r="C455" s="86"/>
      <c r="D455" s="86"/>
    </row>
    <row r="456">
      <c r="B456" s="86"/>
      <c r="C456" s="86"/>
      <c r="D456" s="86"/>
    </row>
    <row r="457">
      <c r="B457" s="86"/>
      <c r="C457" s="86"/>
      <c r="D457" s="86"/>
    </row>
    <row r="458">
      <c r="B458" s="86"/>
      <c r="C458" s="86"/>
      <c r="D458" s="86"/>
    </row>
    <row r="459">
      <c r="B459" s="86"/>
      <c r="C459" s="86"/>
      <c r="D459" s="86"/>
    </row>
    <row r="460">
      <c r="B460" s="86"/>
      <c r="C460" s="86"/>
      <c r="D460" s="86"/>
    </row>
    <row r="461">
      <c r="B461" s="86"/>
      <c r="C461" s="86"/>
      <c r="D461" s="86"/>
    </row>
    <row r="462">
      <c r="B462" s="86"/>
      <c r="C462" s="86"/>
      <c r="D462" s="86"/>
    </row>
    <row r="463">
      <c r="B463" s="86"/>
      <c r="C463" s="86"/>
      <c r="D463" s="86"/>
    </row>
    <row r="464">
      <c r="B464" s="86"/>
      <c r="C464" s="86"/>
      <c r="D464" s="86"/>
    </row>
    <row r="465">
      <c r="B465" s="86"/>
      <c r="C465" s="86"/>
      <c r="D465" s="86"/>
    </row>
    <row r="466">
      <c r="B466" s="86"/>
      <c r="C466" s="86"/>
      <c r="D466" s="86"/>
    </row>
    <row r="467">
      <c r="B467" s="86"/>
      <c r="C467" s="86"/>
      <c r="D467" s="86"/>
    </row>
    <row r="468">
      <c r="B468" s="86"/>
      <c r="C468" s="86"/>
      <c r="D468" s="86"/>
    </row>
    <row r="469">
      <c r="B469" s="86"/>
      <c r="C469" s="86"/>
      <c r="D469" s="86"/>
    </row>
    <row r="470">
      <c r="B470" s="86"/>
      <c r="C470" s="86"/>
      <c r="D470" s="86"/>
    </row>
    <row r="471">
      <c r="B471" s="86"/>
      <c r="C471" s="86"/>
      <c r="D471" s="86"/>
    </row>
    <row r="472">
      <c r="B472" s="86"/>
      <c r="C472" s="86"/>
      <c r="D472" s="86"/>
    </row>
    <row r="473">
      <c r="B473" s="86"/>
      <c r="C473" s="86"/>
      <c r="D473" s="86"/>
    </row>
    <row r="474">
      <c r="B474" s="86"/>
      <c r="C474" s="86"/>
      <c r="D474" s="86"/>
    </row>
    <row r="475">
      <c r="B475" s="86"/>
      <c r="C475" s="86"/>
      <c r="D475" s="86"/>
    </row>
    <row r="476">
      <c r="B476" s="86"/>
      <c r="C476" s="86"/>
      <c r="D476" s="86"/>
    </row>
    <row r="477">
      <c r="B477" s="86"/>
      <c r="C477" s="86"/>
      <c r="D477" s="86"/>
    </row>
    <row r="478">
      <c r="B478" s="86"/>
      <c r="C478" s="86"/>
      <c r="D478" s="86"/>
    </row>
    <row r="479">
      <c r="B479" s="86"/>
      <c r="C479" s="86"/>
      <c r="D479" s="86"/>
    </row>
    <row r="480">
      <c r="B480" s="86"/>
      <c r="C480" s="86"/>
      <c r="D480" s="86"/>
    </row>
    <row r="481">
      <c r="B481" s="86"/>
      <c r="C481" s="86"/>
      <c r="D481" s="86"/>
    </row>
    <row r="482">
      <c r="B482" s="86"/>
      <c r="C482" s="86"/>
      <c r="D482" s="86"/>
    </row>
    <row r="483">
      <c r="B483" s="86"/>
      <c r="C483" s="86"/>
      <c r="D483" s="86"/>
    </row>
    <row r="484">
      <c r="B484" s="86"/>
      <c r="C484" s="86"/>
      <c r="D484" s="86"/>
    </row>
    <row r="485">
      <c r="B485" s="86"/>
      <c r="C485" s="86"/>
      <c r="D485" s="86"/>
    </row>
    <row r="486">
      <c r="B486" s="86"/>
      <c r="C486" s="86"/>
      <c r="D486" s="86"/>
    </row>
    <row r="487">
      <c r="B487" s="86"/>
      <c r="C487" s="86"/>
      <c r="D487" s="86"/>
    </row>
    <row r="488">
      <c r="B488" s="86"/>
      <c r="C488" s="86"/>
      <c r="D488" s="86"/>
    </row>
    <row r="489">
      <c r="B489" s="86"/>
      <c r="C489" s="86"/>
      <c r="D489" s="86"/>
    </row>
    <row r="490">
      <c r="B490" s="86"/>
      <c r="C490" s="86"/>
      <c r="D490" s="86"/>
    </row>
    <row r="491">
      <c r="B491" s="86"/>
      <c r="C491" s="86"/>
      <c r="D491" s="86"/>
    </row>
    <row r="492">
      <c r="B492" s="86"/>
      <c r="C492" s="86"/>
      <c r="D492" s="86"/>
    </row>
    <row r="493">
      <c r="B493" s="86"/>
      <c r="C493" s="86"/>
      <c r="D493" s="86"/>
    </row>
    <row r="494">
      <c r="B494" s="86"/>
      <c r="C494" s="86"/>
      <c r="D494" s="86"/>
    </row>
    <row r="495">
      <c r="B495" s="86"/>
      <c r="C495" s="86"/>
      <c r="D495" s="86"/>
    </row>
    <row r="496">
      <c r="B496" s="86"/>
      <c r="C496" s="86"/>
      <c r="D496" s="86"/>
    </row>
    <row r="497">
      <c r="B497" s="86"/>
      <c r="C497" s="86"/>
      <c r="D497" s="86"/>
    </row>
    <row r="498">
      <c r="B498" s="86"/>
      <c r="C498" s="86"/>
      <c r="D498" s="86"/>
    </row>
    <row r="499">
      <c r="B499" s="86"/>
      <c r="C499" s="86"/>
      <c r="D499" s="86"/>
    </row>
    <row r="500">
      <c r="B500" s="86"/>
      <c r="C500" s="86"/>
      <c r="D500" s="86"/>
    </row>
    <row r="501">
      <c r="B501" s="86"/>
      <c r="C501" s="86"/>
      <c r="D501" s="86"/>
    </row>
    <row r="502">
      <c r="B502" s="86"/>
      <c r="C502" s="86"/>
      <c r="D502" s="86"/>
    </row>
    <row r="503">
      <c r="B503" s="86"/>
      <c r="C503" s="86"/>
      <c r="D503" s="86"/>
    </row>
    <row r="504">
      <c r="B504" s="86"/>
      <c r="C504" s="86"/>
      <c r="D504" s="86"/>
    </row>
    <row r="505">
      <c r="B505" s="86"/>
      <c r="C505" s="86"/>
      <c r="D505" s="86"/>
    </row>
    <row r="506">
      <c r="B506" s="86"/>
      <c r="C506" s="86"/>
      <c r="D506" s="86"/>
    </row>
    <row r="507">
      <c r="B507" s="86"/>
      <c r="C507" s="86"/>
      <c r="D507" s="86"/>
    </row>
    <row r="508">
      <c r="B508" s="86"/>
      <c r="C508" s="86"/>
      <c r="D508" s="86"/>
    </row>
    <row r="509">
      <c r="B509" s="86"/>
      <c r="C509" s="86"/>
      <c r="D509" s="86"/>
    </row>
    <row r="510">
      <c r="B510" s="86"/>
      <c r="C510" s="86"/>
      <c r="D510" s="86"/>
    </row>
    <row r="511">
      <c r="B511" s="86"/>
      <c r="C511" s="86"/>
      <c r="D511" s="86"/>
    </row>
    <row r="512">
      <c r="B512" s="86"/>
      <c r="C512" s="86"/>
      <c r="D512" s="86"/>
    </row>
    <row r="513">
      <c r="B513" s="86"/>
      <c r="C513" s="86"/>
      <c r="D513" s="86"/>
    </row>
    <row r="514">
      <c r="B514" s="86"/>
      <c r="C514" s="86"/>
      <c r="D514" s="86"/>
    </row>
    <row r="515">
      <c r="B515" s="86"/>
      <c r="C515" s="86"/>
      <c r="D515" s="86"/>
    </row>
    <row r="516">
      <c r="B516" s="86"/>
      <c r="C516" s="86"/>
      <c r="D516" s="86"/>
    </row>
    <row r="517">
      <c r="B517" s="86"/>
      <c r="C517" s="86"/>
      <c r="D517" s="86"/>
    </row>
    <row r="518">
      <c r="B518" s="86"/>
      <c r="C518" s="86"/>
      <c r="D518" s="86"/>
    </row>
    <row r="519">
      <c r="B519" s="86"/>
      <c r="C519" s="86"/>
      <c r="D519" s="86"/>
    </row>
    <row r="520">
      <c r="B520" s="86"/>
      <c r="C520" s="86"/>
      <c r="D520" s="86"/>
    </row>
    <row r="521">
      <c r="B521" s="86"/>
      <c r="C521" s="86"/>
      <c r="D521" s="86"/>
    </row>
    <row r="522">
      <c r="B522" s="86"/>
      <c r="C522" s="86"/>
      <c r="D522" s="86"/>
    </row>
    <row r="523">
      <c r="B523" s="86"/>
      <c r="C523" s="86"/>
      <c r="D523" s="86"/>
    </row>
    <row r="524">
      <c r="B524" s="86"/>
      <c r="C524" s="86"/>
      <c r="D524" s="86"/>
    </row>
    <row r="525">
      <c r="B525" s="86"/>
      <c r="C525" s="86"/>
      <c r="D525" s="86"/>
    </row>
    <row r="526">
      <c r="B526" s="86"/>
      <c r="C526" s="86"/>
      <c r="D526" s="86"/>
    </row>
    <row r="527">
      <c r="B527" s="86"/>
      <c r="C527" s="86"/>
      <c r="D527" s="86"/>
    </row>
    <row r="528">
      <c r="B528" s="86"/>
      <c r="C528" s="86"/>
      <c r="D528" s="86"/>
    </row>
    <row r="529">
      <c r="B529" s="86"/>
      <c r="C529" s="86"/>
      <c r="D529" s="86"/>
    </row>
    <row r="530">
      <c r="B530" s="86"/>
      <c r="C530" s="86"/>
      <c r="D530" s="86"/>
    </row>
    <row r="531">
      <c r="B531" s="86"/>
      <c r="C531" s="86"/>
      <c r="D531" s="86"/>
    </row>
    <row r="532">
      <c r="B532" s="86"/>
      <c r="C532" s="86"/>
      <c r="D532" s="86"/>
    </row>
    <row r="533">
      <c r="B533" s="86"/>
      <c r="C533" s="86"/>
      <c r="D533" s="86"/>
    </row>
    <row r="534">
      <c r="B534" s="86"/>
      <c r="C534" s="86"/>
      <c r="D534" s="86"/>
    </row>
    <row r="535">
      <c r="B535" s="86"/>
      <c r="C535" s="86"/>
      <c r="D535" s="86"/>
    </row>
    <row r="536">
      <c r="B536" s="86"/>
      <c r="C536" s="86"/>
      <c r="D536" s="86"/>
    </row>
    <row r="537">
      <c r="B537" s="86"/>
      <c r="C537" s="86"/>
      <c r="D537" s="86"/>
    </row>
    <row r="538">
      <c r="B538" s="86"/>
      <c r="C538" s="86"/>
      <c r="D538" s="86"/>
    </row>
    <row r="539">
      <c r="B539" s="86"/>
      <c r="C539" s="86"/>
      <c r="D539" s="86"/>
    </row>
    <row r="540">
      <c r="B540" s="86"/>
      <c r="C540" s="86"/>
      <c r="D540" s="86"/>
    </row>
    <row r="541">
      <c r="B541" s="86"/>
      <c r="C541" s="86"/>
      <c r="D541" s="86"/>
    </row>
    <row r="542">
      <c r="B542" s="86"/>
      <c r="C542" s="86"/>
      <c r="D542" s="86"/>
    </row>
    <row r="543">
      <c r="B543" s="86"/>
      <c r="C543" s="86"/>
      <c r="D543" s="86"/>
    </row>
    <row r="544">
      <c r="B544" s="86"/>
      <c r="C544" s="86"/>
      <c r="D544" s="86"/>
    </row>
    <row r="545">
      <c r="B545" s="86"/>
      <c r="C545" s="86"/>
      <c r="D545" s="86"/>
    </row>
    <row r="546">
      <c r="B546" s="86"/>
      <c r="C546" s="86"/>
      <c r="D546" s="86"/>
    </row>
    <row r="547">
      <c r="B547" s="86"/>
      <c r="C547" s="86"/>
      <c r="D547" s="86"/>
    </row>
    <row r="548">
      <c r="B548" s="86"/>
      <c r="C548" s="86"/>
      <c r="D548" s="86"/>
    </row>
    <row r="549">
      <c r="B549" s="86"/>
      <c r="C549" s="86"/>
      <c r="D549" s="86"/>
    </row>
    <row r="550">
      <c r="B550" s="86"/>
      <c r="C550" s="86"/>
      <c r="D550" s="86"/>
    </row>
    <row r="551">
      <c r="B551" s="86"/>
      <c r="C551" s="86"/>
      <c r="D551" s="86"/>
    </row>
    <row r="552">
      <c r="B552" s="86"/>
      <c r="C552" s="86"/>
      <c r="D552" s="86"/>
    </row>
    <row r="553">
      <c r="B553" s="86"/>
      <c r="C553" s="86"/>
      <c r="D553" s="86"/>
    </row>
    <row r="554">
      <c r="B554" s="86"/>
      <c r="C554" s="86"/>
      <c r="D554" s="86"/>
    </row>
    <row r="555">
      <c r="B555" s="86"/>
      <c r="C555" s="86"/>
      <c r="D555" s="86"/>
    </row>
    <row r="556">
      <c r="B556" s="86"/>
      <c r="C556" s="86"/>
      <c r="D556" s="86"/>
    </row>
    <row r="557">
      <c r="B557" s="86"/>
      <c r="C557" s="86"/>
      <c r="D557" s="86"/>
    </row>
    <row r="558">
      <c r="B558" s="86"/>
      <c r="C558" s="86"/>
      <c r="D558" s="86"/>
    </row>
    <row r="559">
      <c r="B559" s="86"/>
      <c r="C559" s="86"/>
      <c r="D559" s="86"/>
    </row>
    <row r="560">
      <c r="B560" s="86"/>
      <c r="C560" s="86"/>
      <c r="D560" s="86"/>
    </row>
    <row r="561">
      <c r="B561" s="86"/>
      <c r="C561" s="86"/>
      <c r="D561" s="86"/>
    </row>
    <row r="562">
      <c r="B562" s="86"/>
      <c r="C562" s="86"/>
      <c r="D562" s="86"/>
    </row>
    <row r="563">
      <c r="B563" s="86"/>
      <c r="C563" s="86"/>
      <c r="D563" s="86"/>
    </row>
    <row r="564">
      <c r="B564" s="86"/>
      <c r="C564" s="86"/>
      <c r="D564" s="86"/>
    </row>
    <row r="565">
      <c r="B565" s="86"/>
      <c r="C565" s="86"/>
      <c r="D565" s="86"/>
    </row>
    <row r="566">
      <c r="B566" s="86"/>
      <c r="C566" s="86"/>
      <c r="D566" s="86"/>
    </row>
    <row r="567">
      <c r="B567" s="86"/>
      <c r="C567" s="86"/>
      <c r="D567" s="86"/>
    </row>
    <row r="568">
      <c r="B568" s="86"/>
      <c r="C568" s="86"/>
      <c r="D568" s="86"/>
    </row>
    <row r="569">
      <c r="B569" s="86"/>
      <c r="C569" s="86"/>
      <c r="D569" s="86"/>
    </row>
    <row r="570">
      <c r="B570" s="86"/>
      <c r="C570" s="86"/>
      <c r="D570" s="86"/>
    </row>
    <row r="571">
      <c r="B571" s="86"/>
      <c r="C571" s="86"/>
      <c r="D571" s="86"/>
    </row>
    <row r="572">
      <c r="B572" s="86"/>
      <c r="C572" s="86"/>
      <c r="D572" s="86"/>
    </row>
    <row r="573">
      <c r="B573" s="86"/>
      <c r="C573" s="86"/>
      <c r="D573" s="86"/>
    </row>
    <row r="574">
      <c r="B574" s="86"/>
      <c r="C574" s="86"/>
      <c r="D574" s="86"/>
    </row>
    <row r="575">
      <c r="B575" s="86"/>
      <c r="C575" s="86"/>
      <c r="D575" s="86"/>
    </row>
    <row r="576">
      <c r="B576" s="86"/>
      <c r="C576" s="86"/>
      <c r="D576" s="86"/>
    </row>
    <row r="577">
      <c r="B577" s="86"/>
      <c r="C577" s="86"/>
      <c r="D577" s="86"/>
    </row>
    <row r="578">
      <c r="B578" s="86"/>
      <c r="C578" s="86"/>
      <c r="D578" s="86"/>
    </row>
    <row r="579">
      <c r="B579" s="86"/>
      <c r="C579" s="86"/>
      <c r="D579" s="86"/>
    </row>
    <row r="580">
      <c r="B580" s="86"/>
      <c r="C580" s="86"/>
      <c r="D580" s="86"/>
    </row>
    <row r="581">
      <c r="B581" s="86"/>
      <c r="C581" s="86"/>
      <c r="D581" s="86"/>
    </row>
    <row r="582">
      <c r="B582" s="86"/>
      <c r="C582" s="86"/>
      <c r="D582" s="86"/>
    </row>
    <row r="583">
      <c r="B583" s="86"/>
      <c r="C583" s="86"/>
      <c r="D583" s="86"/>
    </row>
    <row r="584">
      <c r="B584" s="86"/>
      <c r="C584" s="86"/>
      <c r="D584" s="86"/>
    </row>
    <row r="585">
      <c r="B585" s="86"/>
      <c r="C585" s="86"/>
      <c r="D585" s="86"/>
    </row>
    <row r="586">
      <c r="B586" s="86"/>
      <c r="C586" s="86"/>
      <c r="D586" s="86"/>
    </row>
    <row r="587">
      <c r="B587" s="86"/>
      <c r="C587" s="86"/>
      <c r="D587" s="86"/>
    </row>
    <row r="588">
      <c r="B588" s="86"/>
      <c r="C588" s="86"/>
      <c r="D588" s="86"/>
    </row>
    <row r="589">
      <c r="B589" s="86"/>
      <c r="C589" s="86"/>
      <c r="D589" s="86"/>
    </row>
    <row r="590">
      <c r="B590" s="86"/>
      <c r="C590" s="86"/>
      <c r="D590" s="86"/>
    </row>
    <row r="591">
      <c r="B591" s="86"/>
      <c r="C591" s="86"/>
      <c r="D591" s="86"/>
    </row>
    <row r="592">
      <c r="B592" s="86"/>
      <c r="C592" s="86"/>
      <c r="D592" s="86"/>
    </row>
    <row r="593">
      <c r="B593" s="86"/>
      <c r="C593" s="86"/>
      <c r="D593" s="86"/>
    </row>
    <row r="594">
      <c r="B594" s="86"/>
      <c r="C594" s="86"/>
      <c r="D594" s="86"/>
    </row>
    <row r="595">
      <c r="B595" s="86"/>
      <c r="C595" s="86"/>
      <c r="D595" s="86"/>
    </row>
    <row r="596">
      <c r="B596" s="86"/>
      <c r="C596" s="86"/>
      <c r="D596" s="86"/>
    </row>
    <row r="597">
      <c r="B597" s="86"/>
      <c r="C597" s="86"/>
      <c r="D597" s="86"/>
    </row>
    <row r="598">
      <c r="B598" s="86"/>
      <c r="C598" s="86"/>
      <c r="D598" s="86"/>
    </row>
    <row r="599">
      <c r="B599" s="86"/>
      <c r="C599" s="86"/>
      <c r="D599" s="86"/>
    </row>
    <row r="600">
      <c r="B600" s="86"/>
      <c r="C600" s="86"/>
      <c r="D600" s="86"/>
    </row>
    <row r="601">
      <c r="B601" s="86"/>
      <c r="C601" s="86"/>
      <c r="D601" s="86"/>
    </row>
    <row r="602">
      <c r="B602" s="86"/>
      <c r="C602" s="86"/>
      <c r="D602" s="86"/>
    </row>
    <row r="603">
      <c r="B603" s="86"/>
      <c r="C603" s="86"/>
      <c r="D603" s="86"/>
    </row>
    <row r="604">
      <c r="B604" s="86"/>
      <c r="C604" s="86"/>
      <c r="D604" s="86"/>
    </row>
    <row r="605">
      <c r="B605" s="86"/>
      <c r="C605" s="86"/>
      <c r="D605" s="86"/>
    </row>
    <row r="606">
      <c r="B606" s="86"/>
      <c r="C606" s="86"/>
      <c r="D606" s="86"/>
    </row>
    <row r="607">
      <c r="B607" s="86"/>
      <c r="C607" s="86"/>
      <c r="D607" s="86"/>
    </row>
    <row r="608">
      <c r="B608" s="86"/>
      <c r="C608" s="86"/>
      <c r="D608" s="86"/>
    </row>
    <row r="609">
      <c r="B609" s="86"/>
      <c r="C609" s="86"/>
      <c r="D609" s="86"/>
    </row>
    <row r="610">
      <c r="B610" s="86"/>
      <c r="C610" s="86"/>
      <c r="D610" s="86"/>
    </row>
    <row r="611">
      <c r="B611" s="86"/>
      <c r="C611" s="86"/>
      <c r="D611" s="86"/>
    </row>
    <row r="612">
      <c r="B612" s="86"/>
      <c r="C612" s="86"/>
      <c r="D612" s="86"/>
    </row>
    <row r="613">
      <c r="B613" s="86"/>
      <c r="C613" s="86"/>
      <c r="D613" s="86"/>
    </row>
    <row r="614">
      <c r="B614" s="86"/>
      <c r="C614" s="86"/>
      <c r="D614" s="86"/>
    </row>
    <row r="615">
      <c r="B615" s="86"/>
      <c r="C615" s="86"/>
      <c r="D615" s="86"/>
    </row>
    <row r="616">
      <c r="B616" s="86"/>
      <c r="C616" s="86"/>
      <c r="D616" s="86"/>
    </row>
    <row r="617">
      <c r="B617" s="86"/>
      <c r="C617" s="86"/>
      <c r="D617" s="86"/>
    </row>
    <row r="618">
      <c r="B618" s="86"/>
      <c r="C618" s="86"/>
      <c r="D618" s="86"/>
    </row>
    <row r="619">
      <c r="B619" s="86"/>
      <c r="C619" s="86"/>
      <c r="D619" s="86"/>
    </row>
    <row r="620">
      <c r="B620" s="86"/>
      <c r="C620" s="86"/>
      <c r="D620" s="86"/>
    </row>
    <row r="621">
      <c r="B621" s="86"/>
      <c r="C621" s="86"/>
      <c r="D621" s="86"/>
    </row>
    <row r="622">
      <c r="B622" s="86"/>
      <c r="C622" s="86"/>
      <c r="D622" s="86"/>
    </row>
    <row r="623">
      <c r="B623" s="86"/>
      <c r="C623" s="86"/>
      <c r="D623" s="86"/>
    </row>
    <row r="624">
      <c r="B624" s="86"/>
      <c r="C624" s="86"/>
      <c r="D624" s="86"/>
    </row>
    <row r="625">
      <c r="B625" s="86"/>
      <c r="C625" s="86"/>
      <c r="D625" s="86"/>
    </row>
    <row r="626">
      <c r="B626" s="86"/>
      <c r="C626" s="86"/>
      <c r="D626" s="86"/>
    </row>
    <row r="627">
      <c r="B627" s="86"/>
      <c r="C627" s="86"/>
      <c r="D627" s="86"/>
    </row>
    <row r="628">
      <c r="B628" s="86"/>
      <c r="C628" s="86"/>
      <c r="D628" s="86"/>
    </row>
    <row r="629">
      <c r="B629" s="86"/>
      <c r="C629" s="86"/>
      <c r="D629" s="86"/>
    </row>
    <row r="630">
      <c r="B630" s="86"/>
      <c r="C630" s="86"/>
      <c r="D630" s="86"/>
    </row>
    <row r="631">
      <c r="B631" s="86"/>
      <c r="C631" s="86"/>
      <c r="D631" s="86"/>
    </row>
    <row r="632">
      <c r="B632" s="86"/>
      <c r="C632" s="86"/>
      <c r="D632" s="86"/>
    </row>
    <row r="633">
      <c r="B633" s="86"/>
      <c r="C633" s="86"/>
      <c r="D633" s="86"/>
    </row>
    <row r="634">
      <c r="B634" s="86"/>
      <c r="C634" s="86"/>
      <c r="D634" s="86"/>
    </row>
    <row r="635">
      <c r="B635" s="86"/>
      <c r="C635" s="86"/>
      <c r="D635" s="86"/>
    </row>
    <row r="636">
      <c r="B636" s="86"/>
      <c r="C636" s="86"/>
      <c r="D636" s="86"/>
    </row>
    <row r="637">
      <c r="B637" s="86"/>
      <c r="C637" s="86"/>
      <c r="D637" s="86"/>
    </row>
    <row r="638">
      <c r="B638" s="86"/>
      <c r="C638" s="86"/>
      <c r="D638" s="86"/>
    </row>
    <row r="639">
      <c r="B639" s="86"/>
      <c r="C639" s="86"/>
      <c r="D639" s="86"/>
    </row>
    <row r="640">
      <c r="B640" s="86"/>
      <c r="C640" s="86"/>
      <c r="D640" s="86"/>
    </row>
    <row r="641">
      <c r="B641" s="86"/>
      <c r="C641" s="86"/>
      <c r="D641" s="86"/>
    </row>
    <row r="642">
      <c r="B642" s="86"/>
      <c r="C642" s="86"/>
      <c r="D642" s="86"/>
    </row>
    <row r="643">
      <c r="B643" s="86"/>
      <c r="C643" s="86"/>
      <c r="D643" s="86"/>
    </row>
    <row r="644">
      <c r="B644" s="86"/>
      <c r="C644" s="86"/>
      <c r="D644" s="86"/>
    </row>
    <row r="645">
      <c r="B645" s="86"/>
      <c r="C645" s="86"/>
      <c r="D645" s="86"/>
    </row>
    <row r="646">
      <c r="B646" s="86"/>
      <c r="C646" s="86"/>
      <c r="D646" s="86"/>
    </row>
    <row r="647">
      <c r="B647" s="86"/>
      <c r="C647" s="86"/>
      <c r="D647" s="86"/>
    </row>
    <row r="648">
      <c r="B648" s="86"/>
      <c r="C648" s="86"/>
      <c r="D648" s="86"/>
    </row>
    <row r="649">
      <c r="B649" s="86"/>
      <c r="C649" s="86"/>
      <c r="D649" s="86"/>
    </row>
    <row r="650">
      <c r="B650" s="86"/>
      <c r="C650" s="86"/>
      <c r="D650" s="86"/>
    </row>
    <row r="651">
      <c r="B651" s="86"/>
      <c r="C651" s="86"/>
      <c r="D651" s="86"/>
    </row>
    <row r="652">
      <c r="B652" s="86"/>
      <c r="C652" s="86"/>
      <c r="D652" s="86"/>
    </row>
    <row r="653">
      <c r="B653" s="86"/>
      <c r="C653" s="86"/>
      <c r="D653" s="86"/>
    </row>
    <row r="654">
      <c r="B654" s="86"/>
      <c r="C654" s="86"/>
      <c r="D654" s="86"/>
    </row>
    <row r="655">
      <c r="B655" s="86"/>
      <c r="C655" s="86"/>
      <c r="D655" s="86"/>
    </row>
    <row r="656">
      <c r="B656" s="86"/>
      <c r="C656" s="86"/>
      <c r="D656" s="86"/>
    </row>
    <row r="657">
      <c r="B657" s="86"/>
      <c r="C657" s="86"/>
      <c r="D657" s="86"/>
    </row>
    <row r="658">
      <c r="B658" s="86"/>
      <c r="C658" s="86"/>
      <c r="D658" s="86"/>
    </row>
    <row r="659">
      <c r="B659" s="86"/>
      <c r="C659" s="86"/>
      <c r="D659" s="86"/>
    </row>
    <row r="660">
      <c r="B660" s="86"/>
      <c r="C660" s="86"/>
      <c r="D660" s="86"/>
    </row>
    <row r="661">
      <c r="B661" s="86"/>
      <c r="C661" s="86"/>
      <c r="D661" s="86"/>
    </row>
    <row r="662">
      <c r="B662" s="86"/>
      <c r="C662" s="86"/>
      <c r="D662" s="86"/>
    </row>
    <row r="663">
      <c r="B663" s="86"/>
      <c r="C663" s="86"/>
      <c r="D663" s="86"/>
    </row>
    <row r="664">
      <c r="B664" s="86"/>
      <c r="C664" s="86"/>
      <c r="D664" s="86"/>
    </row>
    <row r="665">
      <c r="B665" s="86"/>
      <c r="C665" s="86"/>
      <c r="D665" s="86"/>
    </row>
    <row r="666">
      <c r="B666" s="86"/>
      <c r="C666" s="86"/>
      <c r="D666" s="86"/>
    </row>
    <row r="667">
      <c r="B667" s="86"/>
      <c r="C667" s="86"/>
      <c r="D667" s="86"/>
    </row>
    <row r="668">
      <c r="B668" s="86"/>
      <c r="C668" s="86"/>
      <c r="D668" s="86"/>
    </row>
    <row r="669">
      <c r="B669" s="86"/>
      <c r="C669" s="86"/>
      <c r="D669" s="86"/>
    </row>
    <row r="670">
      <c r="B670" s="86"/>
      <c r="C670" s="86"/>
      <c r="D670" s="86"/>
    </row>
    <row r="671">
      <c r="B671" s="86"/>
      <c r="C671" s="86"/>
      <c r="D671" s="86"/>
    </row>
    <row r="672">
      <c r="B672" s="86"/>
      <c r="C672" s="86"/>
      <c r="D672" s="86"/>
    </row>
    <row r="673">
      <c r="B673" s="86"/>
      <c r="C673" s="86"/>
      <c r="D673" s="86"/>
    </row>
    <row r="674">
      <c r="B674" s="86"/>
      <c r="C674" s="86"/>
      <c r="D674" s="86"/>
    </row>
    <row r="675">
      <c r="B675" s="86"/>
      <c r="C675" s="86"/>
      <c r="D675" s="86"/>
    </row>
    <row r="676">
      <c r="B676" s="86"/>
      <c r="C676" s="86"/>
      <c r="D676" s="86"/>
    </row>
    <row r="677">
      <c r="B677" s="86"/>
      <c r="C677" s="86"/>
      <c r="D677" s="86"/>
    </row>
    <row r="678">
      <c r="B678" s="86"/>
      <c r="C678" s="86"/>
      <c r="D678" s="86"/>
    </row>
    <row r="679">
      <c r="B679" s="86"/>
      <c r="C679" s="86"/>
      <c r="D679" s="86"/>
    </row>
    <row r="680">
      <c r="B680" s="86"/>
      <c r="C680" s="86"/>
      <c r="D680" s="86"/>
    </row>
    <row r="681">
      <c r="B681" s="86"/>
      <c r="C681" s="86"/>
      <c r="D681" s="86"/>
    </row>
    <row r="682">
      <c r="B682" s="86"/>
      <c r="C682" s="86"/>
      <c r="D682" s="86"/>
    </row>
    <row r="683">
      <c r="B683" s="86"/>
      <c r="C683" s="86"/>
      <c r="D683" s="86"/>
    </row>
    <row r="684">
      <c r="B684" s="86"/>
      <c r="C684" s="86"/>
      <c r="D684" s="86"/>
    </row>
    <row r="685">
      <c r="B685" s="86"/>
      <c r="C685" s="86"/>
      <c r="D685" s="86"/>
    </row>
    <row r="686">
      <c r="B686" s="86"/>
      <c r="C686" s="86"/>
      <c r="D686" s="86"/>
    </row>
    <row r="687">
      <c r="B687" s="86"/>
      <c r="C687" s="86"/>
      <c r="D687" s="86"/>
    </row>
    <row r="688">
      <c r="B688" s="86"/>
      <c r="C688" s="86"/>
      <c r="D688" s="86"/>
    </row>
    <row r="689">
      <c r="B689" s="86"/>
      <c r="C689" s="86"/>
      <c r="D689" s="86"/>
    </row>
    <row r="690">
      <c r="B690" s="86"/>
      <c r="C690" s="86"/>
      <c r="D690" s="86"/>
    </row>
    <row r="691">
      <c r="B691" s="86"/>
      <c r="C691" s="86"/>
      <c r="D691" s="86"/>
    </row>
    <row r="692">
      <c r="B692" s="86"/>
      <c r="C692" s="86"/>
      <c r="D692" s="86"/>
    </row>
    <row r="693">
      <c r="B693" s="86"/>
      <c r="C693" s="86"/>
      <c r="D693" s="86"/>
    </row>
    <row r="694">
      <c r="B694" s="86"/>
      <c r="C694" s="86"/>
      <c r="D694" s="86"/>
    </row>
    <row r="695">
      <c r="B695" s="86"/>
      <c r="C695" s="86"/>
      <c r="D695" s="86"/>
    </row>
    <row r="696">
      <c r="B696" s="86"/>
      <c r="C696" s="86"/>
      <c r="D696" s="86"/>
    </row>
    <row r="697">
      <c r="B697" s="86"/>
      <c r="C697" s="86"/>
      <c r="D697" s="86"/>
    </row>
    <row r="698">
      <c r="B698" s="86"/>
      <c r="C698" s="86"/>
      <c r="D698" s="86"/>
    </row>
    <row r="699">
      <c r="B699" s="86"/>
      <c r="C699" s="86"/>
      <c r="D699" s="86"/>
    </row>
    <row r="700">
      <c r="B700" s="86"/>
      <c r="C700" s="86"/>
      <c r="D700" s="86"/>
    </row>
    <row r="701">
      <c r="B701" s="86"/>
      <c r="C701" s="86"/>
      <c r="D701" s="86"/>
    </row>
    <row r="702">
      <c r="B702" s="86"/>
      <c r="C702" s="86"/>
      <c r="D702" s="86"/>
    </row>
    <row r="703">
      <c r="B703" s="86"/>
      <c r="C703" s="86"/>
      <c r="D703" s="86"/>
    </row>
    <row r="704">
      <c r="B704" s="86"/>
      <c r="C704" s="86"/>
      <c r="D704" s="86"/>
    </row>
    <row r="705">
      <c r="B705" s="86"/>
      <c r="C705" s="86"/>
      <c r="D705" s="86"/>
    </row>
    <row r="706">
      <c r="B706" s="86"/>
      <c r="C706" s="86"/>
      <c r="D706" s="86"/>
    </row>
    <row r="707">
      <c r="B707" s="86"/>
      <c r="C707" s="86"/>
      <c r="D707" s="86"/>
    </row>
    <row r="708">
      <c r="B708" s="86"/>
      <c r="C708" s="86"/>
      <c r="D708" s="86"/>
    </row>
    <row r="709">
      <c r="B709" s="86"/>
      <c r="C709" s="86"/>
      <c r="D709" s="86"/>
    </row>
    <row r="710">
      <c r="B710" s="86"/>
      <c r="C710" s="86"/>
      <c r="D710" s="86"/>
    </row>
    <row r="711">
      <c r="B711" s="86"/>
      <c r="C711" s="86"/>
      <c r="D711" s="86"/>
    </row>
    <row r="712">
      <c r="B712" s="86"/>
      <c r="C712" s="86"/>
      <c r="D712" s="86"/>
    </row>
    <row r="713">
      <c r="B713" s="86"/>
      <c r="C713" s="86"/>
      <c r="D713" s="86"/>
    </row>
    <row r="714">
      <c r="B714" s="86"/>
      <c r="C714" s="86"/>
      <c r="D714" s="86"/>
    </row>
    <row r="715">
      <c r="B715" s="86"/>
      <c r="C715" s="86"/>
      <c r="D715" s="86"/>
    </row>
    <row r="716">
      <c r="B716" s="86"/>
      <c r="C716" s="86"/>
      <c r="D716" s="86"/>
    </row>
    <row r="717">
      <c r="B717" s="86"/>
      <c r="C717" s="86"/>
      <c r="D717" s="86"/>
    </row>
    <row r="718">
      <c r="B718" s="86"/>
      <c r="C718" s="86"/>
      <c r="D718" s="86"/>
    </row>
    <row r="719">
      <c r="B719" s="86"/>
      <c r="C719" s="86"/>
      <c r="D719" s="86"/>
    </row>
    <row r="720">
      <c r="B720" s="86"/>
      <c r="C720" s="86"/>
      <c r="D720" s="86"/>
    </row>
    <row r="721">
      <c r="B721" s="86"/>
      <c r="C721" s="86"/>
      <c r="D721" s="86"/>
    </row>
    <row r="722">
      <c r="B722" s="86"/>
      <c r="C722" s="86"/>
      <c r="D722" s="86"/>
    </row>
    <row r="723">
      <c r="B723" s="86"/>
      <c r="C723" s="86"/>
      <c r="D723" s="86"/>
    </row>
    <row r="724">
      <c r="B724" s="86"/>
      <c r="C724" s="86"/>
      <c r="D724" s="86"/>
    </row>
    <row r="725">
      <c r="B725" s="86"/>
      <c r="C725" s="86"/>
      <c r="D725" s="86"/>
    </row>
    <row r="726">
      <c r="B726" s="86"/>
      <c r="C726" s="86"/>
      <c r="D726" s="86"/>
    </row>
    <row r="727">
      <c r="B727" s="86"/>
      <c r="C727" s="86"/>
      <c r="D727" s="86"/>
    </row>
    <row r="728">
      <c r="B728" s="86"/>
      <c r="C728" s="86"/>
      <c r="D728" s="86"/>
    </row>
    <row r="729">
      <c r="B729" s="86"/>
      <c r="C729" s="86"/>
      <c r="D729" s="86"/>
    </row>
    <row r="730">
      <c r="B730" s="86"/>
      <c r="C730" s="86"/>
      <c r="D730" s="86"/>
    </row>
    <row r="731">
      <c r="B731" s="86"/>
      <c r="C731" s="86"/>
      <c r="D731" s="86"/>
    </row>
    <row r="732">
      <c r="B732" s="86"/>
      <c r="C732" s="86"/>
      <c r="D732" s="86"/>
    </row>
    <row r="733">
      <c r="B733" s="86"/>
      <c r="C733" s="86"/>
      <c r="D733" s="86"/>
    </row>
    <row r="734">
      <c r="B734" s="86"/>
      <c r="C734" s="86"/>
      <c r="D734" s="86"/>
    </row>
    <row r="735">
      <c r="B735" s="86"/>
      <c r="C735" s="86"/>
      <c r="D735" s="86"/>
    </row>
    <row r="736">
      <c r="B736" s="86"/>
      <c r="C736" s="86"/>
      <c r="D736" s="86"/>
    </row>
    <row r="737">
      <c r="B737" s="86"/>
      <c r="C737" s="86"/>
      <c r="D737" s="86"/>
    </row>
    <row r="738">
      <c r="B738" s="86"/>
      <c r="C738" s="86"/>
      <c r="D738" s="86"/>
    </row>
    <row r="739">
      <c r="B739" s="86"/>
      <c r="C739" s="86"/>
      <c r="D739" s="86"/>
    </row>
    <row r="740">
      <c r="B740" s="86"/>
      <c r="C740" s="86"/>
      <c r="D740" s="86"/>
    </row>
    <row r="741">
      <c r="B741" s="86"/>
      <c r="C741" s="86"/>
      <c r="D741" s="86"/>
    </row>
    <row r="742">
      <c r="B742" s="86"/>
      <c r="C742" s="86"/>
      <c r="D742" s="86"/>
    </row>
    <row r="743">
      <c r="B743" s="86"/>
      <c r="C743" s="86"/>
      <c r="D743" s="86"/>
    </row>
    <row r="744">
      <c r="B744" s="86"/>
      <c r="C744" s="86"/>
      <c r="D744" s="86"/>
    </row>
    <row r="745">
      <c r="B745" s="86"/>
      <c r="C745" s="86"/>
      <c r="D745" s="86"/>
    </row>
    <row r="746">
      <c r="B746" s="86"/>
      <c r="C746" s="86"/>
      <c r="D746" s="86"/>
    </row>
    <row r="747">
      <c r="B747" s="86"/>
      <c r="C747" s="86"/>
      <c r="D747" s="86"/>
    </row>
    <row r="748">
      <c r="B748" s="86"/>
      <c r="C748" s="86"/>
      <c r="D748" s="86"/>
    </row>
    <row r="749">
      <c r="B749" s="86"/>
      <c r="C749" s="86"/>
      <c r="D749" s="86"/>
    </row>
    <row r="750">
      <c r="B750" s="86"/>
      <c r="C750" s="86"/>
      <c r="D750" s="86"/>
    </row>
    <row r="751">
      <c r="B751" s="86"/>
      <c r="C751" s="86"/>
      <c r="D751" s="86"/>
    </row>
    <row r="752">
      <c r="B752" s="86"/>
      <c r="C752" s="86"/>
      <c r="D752" s="86"/>
    </row>
    <row r="753">
      <c r="B753" s="86"/>
      <c r="C753" s="86"/>
      <c r="D753" s="86"/>
    </row>
    <row r="754">
      <c r="B754" s="86"/>
      <c r="C754" s="86"/>
      <c r="D754" s="86"/>
    </row>
    <row r="755">
      <c r="B755" s="86"/>
      <c r="C755" s="86"/>
      <c r="D755" s="86"/>
    </row>
    <row r="756">
      <c r="B756" s="86"/>
      <c r="C756" s="86"/>
      <c r="D756" s="86"/>
    </row>
    <row r="757">
      <c r="B757" s="86"/>
      <c r="C757" s="86"/>
      <c r="D757" s="86"/>
    </row>
    <row r="758">
      <c r="B758" s="86"/>
      <c r="C758" s="86"/>
      <c r="D758" s="86"/>
    </row>
    <row r="759">
      <c r="B759" s="86"/>
      <c r="C759" s="86"/>
      <c r="D759" s="86"/>
    </row>
    <row r="760">
      <c r="B760" s="86"/>
      <c r="C760" s="86"/>
      <c r="D760" s="86"/>
    </row>
    <row r="761">
      <c r="B761" s="86"/>
      <c r="C761" s="86"/>
      <c r="D761" s="86"/>
    </row>
    <row r="762">
      <c r="B762" s="86"/>
      <c r="C762" s="86"/>
      <c r="D762" s="86"/>
    </row>
    <row r="763">
      <c r="B763" s="86"/>
      <c r="C763" s="86"/>
      <c r="D763" s="86"/>
    </row>
    <row r="764">
      <c r="B764" s="86"/>
      <c r="C764" s="86"/>
      <c r="D764" s="86"/>
    </row>
    <row r="765">
      <c r="B765" s="86"/>
      <c r="C765" s="86"/>
      <c r="D765" s="86"/>
    </row>
    <row r="766">
      <c r="B766" s="86"/>
      <c r="C766" s="86"/>
      <c r="D766" s="86"/>
    </row>
    <row r="767">
      <c r="B767" s="86"/>
      <c r="C767" s="86"/>
      <c r="D767" s="86"/>
    </row>
    <row r="768">
      <c r="B768" s="86"/>
      <c r="C768" s="86"/>
      <c r="D768" s="86"/>
    </row>
    <row r="769">
      <c r="B769" s="86"/>
      <c r="C769" s="86"/>
      <c r="D769" s="86"/>
    </row>
    <row r="770">
      <c r="B770" s="86"/>
      <c r="C770" s="86"/>
      <c r="D770" s="86"/>
    </row>
    <row r="771">
      <c r="B771" s="86"/>
      <c r="C771" s="86"/>
      <c r="D771" s="86"/>
    </row>
    <row r="772">
      <c r="B772" s="86"/>
      <c r="C772" s="86"/>
      <c r="D772" s="86"/>
    </row>
    <row r="773">
      <c r="B773" s="86"/>
      <c r="C773" s="86"/>
      <c r="D773" s="86"/>
    </row>
    <row r="774">
      <c r="B774" s="86"/>
      <c r="C774" s="86"/>
      <c r="D774" s="86"/>
    </row>
    <row r="775">
      <c r="B775" s="86"/>
      <c r="C775" s="86"/>
      <c r="D775" s="86"/>
    </row>
    <row r="776">
      <c r="B776" s="86"/>
      <c r="C776" s="86"/>
      <c r="D776" s="86"/>
    </row>
    <row r="777">
      <c r="B777" s="86"/>
      <c r="C777" s="86"/>
      <c r="D777" s="86"/>
    </row>
    <row r="778">
      <c r="B778" s="86"/>
      <c r="C778" s="86"/>
      <c r="D778" s="86"/>
    </row>
    <row r="779">
      <c r="B779" s="86"/>
      <c r="C779" s="86"/>
      <c r="D779" s="86"/>
    </row>
    <row r="780">
      <c r="B780" s="86"/>
      <c r="C780" s="86"/>
      <c r="D780" s="86"/>
    </row>
    <row r="781">
      <c r="B781" s="86"/>
      <c r="C781" s="86"/>
      <c r="D781" s="86"/>
    </row>
    <row r="782">
      <c r="B782" s="86"/>
      <c r="C782" s="86"/>
      <c r="D782" s="86"/>
    </row>
    <row r="783">
      <c r="B783" s="86"/>
      <c r="C783" s="86"/>
      <c r="D783" s="86"/>
    </row>
    <row r="784">
      <c r="B784" s="86"/>
      <c r="C784" s="86"/>
      <c r="D784" s="86"/>
    </row>
    <row r="785">
      <c r="B785" s="86"/>
      <c r="C785" s="86"/>
      <c r="D785" s="86"/>
    </row>
    <row r="786">
      <c r="B786" s="86"/>
      <c r="C786" s="86"/>
      <c r="D786" s="86"/>
    </row>
    <row r="787">
      <c r="B787" s="86"/>
      <c r="C787" s="86"/>
      <c r="D787" s="86"/>
    </row>
    <row r="788">
      <c r="B788" s="86"/>
      <c r="C788" s="86"/>
      <c r="D788" s="86"/>
    </row>
    <row r="789">
      <c r="B789" s="86"/>
      <c r="C789" s="86"/>
      <c r="D789" s="86"/>
    </row>
    <row r="790">
      <c r="B790" s="86"/>
      <c r="C790" s="86"/>
      <c r="D790" s="86"/>
    </row>
    <row r="791">
      <c r="B791" s="86"/>
      <c r="C791" s="86"/>
      <c r="D791" s="86"/>
    </row>
    <row r="792">
      <c r="B792" s="86"/>
      <c r="C792" s="86"/>
      <c r="D792" s="86"/>
    </row>
    <row r="793">
      <c r="B793" s="86"/>
      <c r="C793" s="86"/>
      <c r="D793" s="86"/>
    </row>
    <row r="794">
      <c r="B794" s="86"/>
      <c r="C794" s="86"/>
      <c r="D794" s="86"/>
    </row>
    <row r="795">
      <c r="B795" s="86"/>
      <c r="C795" s="86"/>
      <c r="D795" s="86"/>
    </row>
    <row r="796">
      <c r="B796" s="86"/>
      <c r="C796" s="86"/>
      <c r="D796" s="86"/>
    </row>
    <row r="797">
      <c r="B797" s="86"/>
      <c r="C797" s="86"/>
      <c r="D797" s="86"/>
    </row>
    <row r="798">
      <c r="B798" s="86"/>
      <c r="C798" s="86"/>
      <c r="D798" s="86"/>
    </row>
    <row r="799">
      <c r="B799" s="86"/>
      <c r="C799" s="86"/>
      <c r="D799" s="86"/>
    </row>
    <row r="800">
      <c r="B800" s="86"/>
      <c r="C800" s="86"/>
      <c r="D800" s="86"/>
    </row>
    <row r="801">
      <c r="B801" s="86"/>
      <c r="C801" s="86"/>
      <c r="D801" s="86"/>
    </row>
    <row r="802">
      <c r="B802" s="86"/>
      <c r="C802" s="86"/>
      <c r="D802" s="86"/>
    </row>
    <row r="803">
      <c r="B803" s="86"/>
      <c r="C803" s="86"/>
      <c r="D803" s="86"/>
    </row>
    <row r="804">
      <c r="B804" s="86"/>
      <c r="C804" s="86"/>
      <c r="D804" s="86"/>
    </row>
    <row r="805">
      <c r="B805" s="86"/>
      <c r="C805" s="86"/>
      <c r="D805" s="86"/>
    </row>
    <row r="806">
      <c r="B806" s="86"/>
      <c r="C806" s="86"/>
      <c r="D806" s="86"/>
    </row>
    <row r="807">
      <c r="B807" s="86"/>
      <c r="C807" s="86"/>
      <c r="D807" s="86"/>
    </row>
    <row r="808">
      <c r="B808" s="86"/>
      <c r="C808" s="86"/>
      <c r="D808" s="86"/>
    </row>
    <row r="809">
      <c r="B809" s="86"/>
      <c r="C809" s="86"/>
      <c r="D809" s="86"/>
    </row>
    <row r="810">
      <c r="B810" s="86"/>
      <c r="C810" s="86"/>
      <c r="D810" s="86"/>
    </row>
    <row r="811">
      <c r="B811" s="86"/>
      <c r="C811" s="86"/>
      <c r="D811" s="86"/>
    </row>
    <row r="812">
      <c r="B812" s="86"/>
      <c r="C812" s="86"/>
      <c r="D812" s="86"/>
    </row>
    <row r="813">
      <c r="B813" s="86"/>
      <c r="C813" s="86"/>
      <c r="D813" s="86"/>
    </row>
    <row r="814">
      <c r="B814" s="86"/>
      <c r="C814" s="86"/>
      <c r="D814" s="86"/>
    </row>
    <row r="815">
      <c r="B815" s="86"/>
      <c r="C815" s="86"/>
      <c r="D815" s="86"/>
    </row>
    <row r="816">
      <c r="B816" s="86"/>
      <c r="C816" s="86"/>
      <c r="D816" s="86"/>
    </row>
    <row r="817">
      <c r="B817" s="86"/>
      <c r="C817" s="86"/>
      <c r="D817" s="86"/>
    </row>
    <row r="818">
      <c r="B818" s="86"/>
      <c r="C818" s="86"/>
      <c r="D818" s="86"/>
    </row>
    <row r="819">
      <c r="B819" s="86"/>
      <c r="C819" s="86"/>
      <c r="D819" s="86"/>
    </row>
    <row r="820">
      <c r="B820" s="86"/>
      <c r="C820" s="86"/>
      <c r="D820" s="86"/>
    </row>
    <row r="821">
      <c r="B821" s="86"/>
      <c r="C821" s="86"/>
      <c r="D821" s="86"/>
    </row>
    <row r="822">
      <c r="B822" s="86"/>
      <c r="C822" s="86"/>
      <c r="D822" s="86"/>
    </row>
    <row r="823">
      <c r="B823" s="86"/>
      <c r="C823" s="86"/>
      <c r="D823" s="86"/>
    </row>
    <row r="824">
      <c r="B824" s="86"/>
      <c r="C824" s="86"/>
      <c r="D824" s="86"/>
    </row>
    <row r="825">
      <c r="B825" s="86"/>
      <c r="C825" s="86"/>
      <c r="D825" s="86"/>
    </row>
    <row r="826">
      <c r="B826" s="86"/>
      <c r="C826" s="86"/>
      <c r="D826" s="86"/>
    </row>
    <row r="827">
      <c r="B827" s="86"/>
      <c r="C827" s="86"/>
      <c r="D827" s="86"/>
    </row>
    <row r="828">
      <c r="B828" s="86"/>
      <c r="C828" s="86"/>
      <c r="D828" s="86"/>
    </row>
    <row r="829">
      <c r="B829" s="86"/>
      <c r="C829" s="86"/>
      <c r="D829" s="86"/>
    </row>
    <row r="830">
      <c r="B830" s="86"/>
      <c r="C830" s="86"/>
      <c r="D830" s="86"/>
    </row>
    <row r="831">
      <c r="B831" s="86"/>
      <c r="C831" s="86"/>
      <c r="D831" s="86"/>
    </row>
    <row r="832">
      <c r="B832" s="86"/>
      <c r="C832" s="86"/>
      <c r="D832" s="86"/>
    </row>
    <row r="833">
      <c r="B833" s="86"/>
      <c r="C833" s="86"/>
      <c r="D833" s="86"/>
    </row>
    <row r="834">
      <c r="B834" s="86"/>
      <c r="C834" s="86"/>
      <c r="D834" s="86"/>
    </row>
    <row r="835">
      <c r="B835" s="86"/>
      <c r="C835" s="86"/>
      <c r="D835" s="86"/>
    </row>
    <row r="836">
      <c r="B836" s="86"/>
      <c r="C836" s="86"/>
      <c r="D836" s="86"/>
    </row>
    <row r="837">
      <c r="B837" s="86"/>
      <c r="C837" s="86"/>
      <c r="D837" s="86"/>
    </row>
    <row r="838">
      <c r="B838" s="86"/>
      <c r="C838" s="86"/>
      <c r="D838" s="86"/>
    </row>
    <row r="839">
      <c r="B839" s="86"/>
      <c r="C839" s="86"/>
      <c r="D839" s="86"/>
    </row>
    <row r="840">
      <c r="B840" s="86"/>
      <c r="C840" s="86"/>
      <c r="D840" s="86"/>
    </row>
    <row r="841">
      <c r="B841" s="86"/>
      <c r="C841" s="86"/>
      <c r="D841" s="86"/>
    </row>
    <row r="842">
      <c r="B842" s="86"/>
      <c r="C842" s="86"/>
      <c r="D842" s="86"/>
    </row>
    <row r="843">
      <c r="B843" s="86"/>
      <c r="C843" s="86"/>
      <c r="D843" s="86"/>
    </row>
    <row r="844">
      <c r="B844" s="86"/>
      <c r="C844" s="86"/>
      <c r="D844" s="86"/>
    </row>
    <row r="845">
      <c r="B845" s="86"/>
      <c r="C845" s="86"/>
      <c r="D845" s="86"/>
    </row>
    <row r="846">
      <c r="B846" s="86"/>
      <c r="C846" s="86"/>
      <c r="D846" s="86"/>
    </row>
    <row r="847">
      <c r="B847" s="86"/>
      <c r="C847" s="86"/>
      <c r="D847" s="86"/>
    </row>
    <row r="848">
      <c r="B848" s="86"/>
      <c r="C848" s="86"/>
      <c r="D848" s="86"/>
    </row>
    <row r="849">
      <c r="B849" s="86"/>
      <c r="C849" s="86"/>
      <c r="D849" s="86"/>
    </row>
    <row r="850">
      <c r="B850" s="86"/>
      <c r="C850" s="86"/>
      <c r="D850" s="86"/>
    </row>
    <row r="851">
      <c r="B851" s="86"/>
      <c r="C851" s="86"/>
      <c r="D851" s="86"/>
    </row>
    <row r="852">
      <c r="B852" s="86"/>
      <c r="C852" s="86"/>
      <c r="D852" s="86"/>
    </row>
    <row r="853">
      <c r="B853" s="86"/>
      <c r="C853" s="86"/>
      <c r="D853" s="86"/>
    </row>
    <row r="854">
      <c r="B854" s="86"/>
      <c r="C854" s="86"/>
      <c r="D854" s="86"/>
    </row>
    <row r="855">
      <c r="B855" s="86"/>
      <c r="C855" s="86"/>
      <c r="D855" s="86"/>
    </row>
    <row r="856">
      <c r="B856" s="86"/>
      <c r="C856" s="86"/>
      <c r="D856" s="86"/>
    </row>
    <row r="857">
      <c r="B857" s="86"/>
      <c r="C857" s="86"/>
      <c r="D857" s="86"/>
    </row>
    <row r="858">
      <c r="B858" s="86"/>
      <c r="C858" s="86"/>
      <c r="D858" s="86"/>
    </row>
    <row r="859">
      <c r="B859" s="86"/>
      <c r="C859" s="86"/>
      <c r="D859" s="86"/>
    </row>
    <row r="860">
      <c r="B860" s="86"/>
      <c r="C860" s="86"/>
      <c r="D860" s="86"/>
    </row>
    <row r="861">
      <c r="B861" s="86"/>
      <c r="C861" s="86"/>
      <c r="D861" s="86"/>
    </row>
    <row r="862">
      <c r="B862" s="86"/>
      <c r="C862" s="86"/>
      <c r="D862" s="86"/>
    </row>
    <row r="863">
      <c r="B863" s="86"/>
      <c r="C863" s="86"/>
      <c r="D863" s="86"/>
    </row>
    <row r="864">
      <c r="B864" s="86"/>
      <c r="C864" s="86"/>
      <c r="D864" s="86"/>
    </row>
    <row r="865">
      <c r="B865" s="86"/>
      <c r="C865" s="86"/>
      <c r="D865" s="86"/>
    </row>
    <row r="866">
      <c r="B866" s="86"/>
      <c r="C866" s="86"/>
      <c r="D866" s="86"/>
    </row>
    <row r="867">
      <c r="B867" s="86"/>
      <c r="C867" s="86"/>
      <c r="D867" s="86"/>
    </row>
    <row r="868">
      <c r="B868" s="86"/>
      <c r="C868" s="86"/>
      <c r="D868" s="86"/>
    </row>
    <row r="869">
      <c r="B869" s="86"/>
      <c r="C869" s="86"/>
      <c r="D869" s="86"/>
    </row>
    <row r="870">
      <c r="B870" s="86"/>
      <c r="C870" s="86"/>
      <c r="D870" s="86"/>
    </row>
    <row r="871">
      <c r="B871" s="86"/>
      <c r="C871" s="86"/>
      <c r="D871" s="86"/>
    </row>
    <row r="872">
      <c r="B872" s="86"/>
      <c r="C872" s="86"/>
      <c r="D872" s="86"/>
    </row>
    <row r="873">
      <c r="B873" s="86"/>
      <c r="C873" s="86"/>
      <c r="D873" s="86"/>
    </row>
    <row r="874">
      <c r="B874" s="86"/>
      <c r="C874" s="86"/>
      <c r="D874" s="86"/>
    </row>
    <row r="875">
      <c r="B875" s="86"/>
      <c r="C875" s="86"/>
      <c r="D875" s="86"/>
    </row>
    <row r="876">
      <c r="B876" s="86"/>
      <c r="C876" s="86"/>
      <c r="D876" s="86"/>
    </row>
    <row r="877">
      <c r="B877" s="86"/>
      <c r="C877" s="86"/>
      <c r="D877" s="86"/>
    </row>
    <row r="878">
      <c r="B878" s="86"/>
      <c r="C878" s="86"/>
      <c r="D878" s="86"/>
    </row>
    <row r="879">
      <c r="B879" s="86"/>
      <c r="C879" s="86"/>
      <c r="D879" s="86"/>
    </row>
    <row r="880">
      <c r="B880" s="86"/>
      <c r="C880" s="86"/>
      <c r="D880" s="86"/>
    </row>
    <row r="881">
      <c r="B881" s="86"/>
      <c r="C881" s="86"/>
      <c r="D881" s="86"/>
    </row>
    <row r="882">
      <c r="B882" s="86"/>
      <c r="C882" s="86"/>
      <c r="D882" s="86"/>
    </row>
    <row r="883">
      <c r="B883" s="86"/>
      <c r="C883" s="86"/>
      <c r="D883" s="86"/>
    </row>
    <row r="884">
      <c r="B884" s="86"/>
      <c r="C884" s="86"/>
      <c r="D884" s="86"/>
    </row>
    <row r="885">
      <c r="B885" s="86"/>
      <c r="C885" s="86"/>
      <c r="D885" s="86"/>
    </row>
    <row r="886">
      <c r="B886" s="86"/>
      <c r="C886" s="86"/>
      <c r="D886" s="86"/>
    </row>
    <row r="887">
      <c r="B887" s="86"/>
      <c r="C887" s="86"/>
      <c r="D887" s="86"/>
    </row>
    <row r="888">
      <c r="B888" s="86"/>
      <c r="C888" s="86"/>
      <c r="D888" s="86"/>
    </row>
    <row r="889">
      <c r="B889" s="86"/>
      <c r="C889" s="86"/>
      <c r="D889" s="86"/>
    </row>
    <row r="890">
      <c r="B890" s="86"/>
      <c r="C890" s="86"/>
      <c r="D890" s="86"/>
    </row>
    <row r="891">
      <c r="B891" s="86"/>
      <c r="C891" s="86"/>
      <c r="D891" s="86"/>
    </row>
    <row r="892">
      <c r="B892" s="86"/>
      <c r="C892" s="86"/>
      <c r="D892" s="86"/>
    </row>
    <row r="893">
      <c r="B893" s="86"/>
      <c r="C893" s="86"/>
      <c r="D893" s="86"/>
    </row>
    <row r="894">
      <c r="B894" s="86"/>
      <c r="C894" s="86"/>
      <c r="D894" s="86"/>
    </row>
    <row r="895">
      <c r="B895" s="86"/>
      <c r="C895" s="86"/>
      <c r="D895" s="86"/>
    </row>
    <row r="896">
      <c r="B896" s="86"/>
      <c r="C896" s="86"/>
      <c r="D896" s="86"/>
    </row>
    <row r="897">
      <c r="B897" s="86"/>
      <c r="C897" s="86"/>
      <c r="D897" s="86"/>
    </row>
    <row r="898">
      <c r="B898" s="86"/>
      <c r="C898" s="86"/>
      <c r="D898" s="86"/>
    </row>
    <row r="899">
      <c r="B899" s="86"/>
      <c r="C899" s="86"/>
      <c r="D899" s="86"/>
    </row>
    <row r="900">
      <c r="B900" s="86"/>
      <c r="C900" s="86"/>
      <c r="D900" s="86"/>
    </row>
    <row r="901">
      <c r="B901" s="86"/>
      <c r="C901" s="86"/>
      <c r="D901" s="86"/>
    </row>
    <row r="902">
      <c r="B902" s="86"/>
      <c r="C902" s="86"/>
      <c r="D902" s="86"/>
    </row>
    <row r="903">
      <c r="B903" s="86"/>
      <c r="C903" s="86"/>
      <c r="D903" s="86"/>
    </row>
    <row r="904">
      <c r="B904" s="86"/>
      <c r="C904" s="86"/>
      <c r="D904" s="86"/>
    </row>
    <row r="905">
      <c r="B905" s="86"/>
      <c r="C905" s="86"/>
      <c r="D905" s="86"/>
    </row>
    <row r="906">
      <c r="B906" s="86"/>
      <c r="C906" s="86"/>
      <c r="D906" s="86"/>
    </row>
    <row r="907">
      <c r="B907" s="86"/>
      <c r="C907" s="86"/>
      <c r="D907" s="86"/>
    </row>
    <row r="908">
      <c r="B908" s="86"/>
      <c r="C908" s="86"/>
      <c r="D908" s="86"/>
    </row>
    <row r="909">
      <c r="B909" s="86"/>
      <c r="C909" s="86"/>
      <c r="D909" s="86"/>
    </row>
    <row r="910">
      <c r="B910" s="86"/>
      <c r="C910" s="86"/>
      <c r="D910" s="86"/>
    </row>
    <row r="911">
      <c r="B911" s="86"/>
      <c r="C911" s="86"/>
      <c r="D911" s="86"/>
    </row>
    <row r="912">
      <c r="B912" s="86"/>
      <c r="C912" s="86"/>
      <c r="D912" s="86"/>
    </row>
    <row r="913">
      <c r="B913" s="86"/>
      <c r="C913" s="86"/>
      <c r="D913" s="86"/>
    </row>
    <row r="914">
      <c r="B914" s="86"/>
      <c r="C914" s="86"/>
      <c r="D914" s="86"/>
    </row>
    <row r="915">
      <c r="B915" s="86"/>
      <c r="C915" s="86"/>
      <c r="D915" s="86"/>
    </row>
    <row r="916">
      <c r="B916" s="86"/>
      <c r="C916" s="86"/>
      <c r="D916" s="86"/>
    </row>
    <row r="917">
      <c r="B917" s="86"/>
      <c r="C917" s="86"/>
      <c r="D917" s="86"/>
    </row>
    <row r="918">
      <c r="B918" s="86"/>
      <c r="C918" s="86"/>
      <c r="D918" s="86"/>
    </row>
    <row r="919">
      <c r="B919" s="86"/>
      <c r="C919" s="86"/>
      <c r="D919" s="86"/>
    </row>
    <row r="920">
      <c r="B920" s="86"/>
      <c r="C920" s="86"/>
      <c r="D920" s="86"/>
    </row>
    <row r="921">
      <c r="B921" s="86"/>
      <c r="C921" s="86"/>
      <c r="D921" s="86"/>
    </row>
    <row r="922">
      <c r="B922" s="86"/>
      <c r="C922" s="86"/>
      <c r="D922" s="86"/>
    </row>
    <row r="923">
      <c r="B923" s="86"/>
      <c r="C923" s="86"/>
      <c r="D923" s="86"/>
    </row>
    <row r="924">
      <c r="B924" s="86"/>
      <c r="C924" s="86"/>
      <c r="D924" s="86"/>
    </row>
    <row r="925">
      <c r="B925" s="86"/>
      <c r="C925" s="86"/>
      <c r="D925" s="86"/>
    </row>
    <row r="926">
      <c r="B926" s="86"/>
      <c r="C926" s="86"/>
      <c r="D926" s="86"/>
    </row>
    <row r="927">
      <c r="B927" s="86"/>
      <c r="C927" s="86"/>
      <c r="D927" s="86"/>
    </row>
    <row r="928">
      <c r="B928" s="86"/>
      <c r="C928" s="86"/>
      <c r="D928" s="86"/>
    </row>
    <row r="929">
      <c r="B929" s="86"/>
      <c r="C929" s="86"/>
      <c r="D929" s="86"/>
    </row>
    <row r="930">
      <c r="B930" s="86"/>
      <c r="C930" s="86"/>
      <c r="D930" s="86"/>
    </row>
    <row r="931">
      <c r="B931" s="86"/>
      <c r="C931" s="86"/>
      <c r="D931" s="86"/>
    </row>
    <row r="932">
      <c r="B932" s="86"/>
      <c r="C932" s="86"/>
      <c r="D932" s="86"/>
    </row>
    <row r="933">
      <c r="B933" s="86"/>
      <c r="C933" s="86"/>
      <c r="D933" s="86"/>
    </row>
    <row r="934">
      <c r="B934" s="86"/>
      <c r="C934" s="86"/>
      <c r="D934" s="86"/>
    </row>
    <row r="935">
      <c r="B935" s="86"/>
      <c r="C935" s="86"/>
      <c r="D935" s="86"/>
    </row>
    <row r="936">
      <c r="B936" s="86"/>
      <c r="C936" s="86"/>
      <c r="D936" s="86"/>
    </row>
    <row r="937">
      <c r="B937" s="86"/>
      <c r="C937" s="86"/>
      <c r="D937" s="86"/>
    </row>
    <row r="938">
      <c r="B938" s="86"/>
      <c r="C938" s="86"/>
      <c r="D938" s="86"/>
    </row>
    <row r="939">
      <c r="B939" s="86"/>
      <c r="C939" s="86"/>
      <c r="D939" s="86"/>
    </row>
    <row r="940">
      <c r="B940" s="86"/>
      <c r="C940" s="86"/>
      <c r="D940" s="86"/>
    </row>
    <row r="941">
      <c r="B941" s="86"/>
      <c r="C941" s="86"/>
      <c r="D941" s="86"/>
    </row>
    <row r="942">
      <c r="B942" s="86"/>
      <c r="C942" s="86"/>
      <c r="D942" s="86"/>
    </row>
    <row r="943">
      <c r="B943" s="86"/>
      <c r="C943" s="86"/>
      <c r="D943" s="86"/>
    </row>
    <row r="944">
      <c r="B944" s="86"/>
      <c r="C944" s="86"/>
      <c r="D944" s="86"/>
    </row>
    <row r="945">
      <c r="B945" s="86"/>
      <c r="C945" s="86"/>
      <c r="D945" s="86"/>
    </row>
    <row r="946">
      <c r="B946" s="86"/>
      <c r="C946" s="86"/>
      <c r="D946" s="86"/>
    </row>
    <row r="947">
      <c r="B947" s="86"/>
      <c r="C947" s="86"/>
      <c r="D947" s="86"/>
    </row>
    <row r="948">
      <c r="B948" s="86"/>
      <c r="C948" s="86"/>
      <c r="D948" s="86"/>
    </row>
    <row r="949">
      <c r="B949" s="86"/>
      <c r="C949" s="86"/>
      <c r="D949" s="86"/>
    </row>
    <row r="950">
      <c r="B950" s="86"/>
      <c r="C950" s="86"/>
      <c r="D950" s="86"/>
    </row>
    <row r="951">
      <c r="B951" s="86"/>
      <c r="C951" s="86"/>
      <c r="D951" s="86"/>
    </row>
    <row r="952">
      <c r="B952" s="86"/>
      <c r="C952" s="86"/>
      <c r="D952" s="86"/>
    </row>
    <row r="953">
      <c r="B953" s="86"/>
      <c r="C953" s="86"/>
      <c r="D953" s="86"/>
    </row>
    <row r="954">
      <c r="B954" s="86"/>
      <c r="C954" s="86"/>
      <c r="D954" s="86"/>
    </row>
    <row r="955">
      <c r="B955" s="86"/>
      <c r="C955" s="86"/>
      <c r="D955" s="86"/>
    </row>
    <row r="956">
      <c r="B956" s="86"/>
      <c r="C956" s="86"/>
      <c r="D956" s="86"/>
    </row>
    <row r="957">
      <c r="B957" s="86"/>
      <c r="C957" s="86"/>
      <c r="D957" s="86"/>
    </row>
    <row r="958">
      <c r="B958" s="86"/>
      <c r="C958" s="86"/>
      <c r="D958" s="86"/>
    </row>
    <row r="959">
      <c r="B959" s="86"/>
      <c r="C959" s="86"/>
      <c r="D959" s="86"/>
    </row>
    <row r="960">
      <c r="B960" s="86"/>
      <c r="C960" s="86"/>
      <c r="D960" s="86"/>
    </row>
    <row r="961">
      <c r="B961" s="86"/>
      <c r="C961" s="86"/>
      <c r="D961" s="86"/>
    </row>
    <row r="962">
      <c r="B962" s="86"/>
      <c r="C962" s="86"/>
      <c r="D962" s="86"/>
    </row>
    <row r="963">
      <c r="B963" s="86"/>
      <c r="C963" s="86"/>
      <c r="D963" s="86"/>
    </row>
    <row r="964">
      <c r="B964" s="86"/>
      <c r="C964" s="86"/>
      <c r="D964" s="86"/>
    </row>
    <row r="965">
      <c r="B965" s="86"/>
      <c r="C965" s="86"/>
      <c r="D965" s="86"/>
    </row>
    <row r="966">
      <c r="B966" s="86"/>
      <c r="C966" s="86"/>
      <c r="D966" s="86"/>
    </row>
    <row r="967">
      <c r="B967" s="86"/>
      <c r="C967" s="86"/>
      <c r="D967" s="86"/>
    </row>
    <row r="968">
      <c r="B968" s="86"/>
      <c r="C968" s="86"/>
      <c r="D968" s="86"/>
    </row>
    <row r="969">
      <c r="B969" s="86"/>
      <c r="C969" s="86"/>
      <c r="D969" s="86"/>
    </row>
    <row r="970">
      <c r="B970" s="86"/>
      <c r="C970" s="86"/>
      <c r="D970" s="86"/>
    </row>
    <row r="971">
      <c r="B971" s="86"/>
      <c r="C971" s="86"/>
      <c r="D971" s="86"/>
    </row>
    <row r="972">
      <c r="B972" s="86"/>
      <c r="C972" s="86"/>
      <c r="D972" s="86"/>
    </row>
    <row r="973">
      <c r="B973" s="86"/>
      <c r="C973" s="86"/>
      <c r="D973" s="86"/>
    </row>
    <row r="974">
      <c r="B974" s="86"/>
      <c r="C974" s="86"/>
      <c r="D974" s="86"/>
    </row>
    <row r="975">
      <c r="B975" s="86"/>
      <c r="C975" s="86"/>
      <c r="D975" s="86"/>
    </row>
    <row r="976">
      <c r="B976" s="86"/>
      <c r="C976" s="86"/>
      <c r="D976" s="86"/>
    </row>
    <row r="977">
      <c r="B977" s="86"/>
      <c r="C977" s="86"/>
      <c r="D977" s="86"/>
    </row>
    <row r="978">
      <c r="B978" s="86"/>
      <c r="C978" s="86"/>
      <c r="D978" s="86"/>
    </row>
    <row r="979">
      <c r="B979" s="86"/>
      <c r="C979" s="86"/>
      <c r="D979" s="86"/>
    </row>
    <row r="980">
      <c r="B980" s="86"/>
      <c r="C980" s="86"/>
      <c r="D980" s="86"/>
    </row>
    <row r="981">
      <c r="B981" s="86"/>
      <c r="C981" s="86"/>
      <c r="D981" s="86"/>
    </row>
    <row r="982">
      <c r="B982" s="86"/>
      <c r="C982" s="86"/>
      <c r="D982" s="86"/>
    </row>
    <row r="983">
      <c r="B983" s="86"/>
      <c r="C983" s="86"/>
      <c r="D983" s="86"/>
    </row>
    <row r="984">
      <c r="B984" s="86"/>
      <c r="C984" s="86"/>
      <c r="D984" s="86"/>
    </row>
    <row r="985">
      <c r="B985" s="86"/>
      <c r="C985" s="86"/>
      <c r="D985" s="86"/>
    </row>
    <row r="986">
      <c r="B986" s="86"/>
      <c r="C986" s="86"/>
      <c r="D986" s="86"/>
    </row>
    <row r="987">
      <c r="B987" s="86"/>
      <c r="C987" s="86"/>
      <c r="D987" s="86"/>
    </row>
    <row r="988">
      <c r="B988" s="86"/>
      <c r="C988" s="86"/>
      <c r="D988" s="86"/>
    </row>
    <row r="989">
      <c r="B989" s="86"/>
      <c r="C989" s="86"/>
      <c r="D989" s="86"/>
    </row>
    <row r="990">
      <c r="B990" s="86"/>
      <c r="C990" s="86"/>
      <c r="D990" s="86"/>
    </row>
    <row r="991">
      <c r="B991" s="86"/>
      <c r="C991" s="86"/>
      <c r="D991" s="86"/>
    </row>
    <row r="992">
      <c r="B992" s="86"/>
      <c r="C992" s="86"/>
      <c r="D992" s="86"/>
    </row>
    <row r="993">
      <c r="B993" s="86"/>
      <c r="C993" s="86"/>
      <c r="D993" s="86"/>
    </row>
    <row r="994">
      <c r="B994" s="86"/>
      <c r="C994" s="86"/>
      <c r="D994" s="86"/>
    </row>
    <row r="995">
      <c r="B995" s="86"/>
      <c r="C995" s="86"/>
      <c r="D995" s="86"/>
    </row>
    <row r="996">
      <c r="B996" s="86"/>
      <c r="C996" s="86"/>
      <c r="D996" s="86"/>
    </row>
    <row r="997">
      <c r="B997" s="86"/>
      <c r="C997" s="86"/>
      <c r="D997" s="86"/>
    </row>
    <row r="998">
      <c r="B998" s="86"/>
      <c r="C998" s="86"/>
      <c r="D998" s="86"/>
    </row>
    <row r="999">
      <c r="B999" s="86"/>
      <c r="C999" s="86"/>
      <c r="D999" s="86"/>
    </row>
    <row r="1000">
      <c r="B1000" s="86"/>
      <c r="C1000" s="86"/>
      <c r="D1000" s="8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8">
        <v>2022.0</v>
      </c>
      <c r="B1" s="200">
        <f>SUM('ОСНОВА'!I185:I211)</f>
        <v>596</v>
      </c>
      <c r="C1" s="200">
        <f t="shared" ref="C1:C4" si="1">B1</f>
        <v>596</v>
      </c>
      <c r="D1" s="200">
        <v>0.0</v>
      </c>
    </row>
    <row r="2">
      <c r="A2" s="68">
        <v>2023.0</v>
      </c>
      <c r="B2" s="200">
        <f>SUM('ОСНОВА'!I132:I184)</f>
        <v>2172</v>
      </c>
      <c r="C2" s="200">
        <f t="shared" si="1"/>
        <v>2172</v>
      </c>
      <c r="D2" s="200">
        <v>0.0</v>
      </c>
    </row>
    <row r="3">
      <c r="A3" s="68">
        <v>2024.0</v>
      </c>
      <c r="B3" s="200">
        <f>SUM('ОСНОВА'!I79:I131)</f>
        <v>2587</v>
      </c>
      <c r="C3" s="200">
        <f t="shared" si="1"/>
        <v>2587</v>
      </c>
      <c r="D3" s="200">
        <v>0.0</v>
      </c>
    </row>
    <row r="4">
      <c r="A4" s="68">
        <v>2025.0</v>
      </c>
      <c r="B4" s="200">
        <f>SUM('ОСНОВА'!I5:I78)</f>
        <v>3288</v>
      </c>
      <c r="C4" s="200">
        <f t="shared" si="1"/>
        <v>3288</v>
      </c>
      <c r="D4" s="86">
        <f>'ОСНОВА'!I4*2</f>
        <v>85.15270936</v>
      </c>
    </row>
    <row r="31">
      <c r="N31" s="20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8">
        <v>2022.0</v>
      </c>
      <c r="B1" s="200">
        <f>SUM('ОСНОВА'!H185:H211)</f>
        <v>850</v>
      </c>
      <c r="C1" s="200">
        <f t="shared" ref="C1:C4" si="1">B1*5</f>
        <v>4250</v>
      </c>
      <c r="D1" s="200">
        <v>0.0</v>
      </c>
    </row>
    <row r="2">
      <c r="A2" s="68">
        <v>2023.0</v>
      </c>
      <c r="B2" s="200">
        <f>SUM('ОСНОВА'!H132:H184)</f>
        <v>1961</v>
      </c>
      <c r="C2" s="200">
        <f t="shared" si="1"/>
        <v>9805</v>
      </c>
      <c r="D2" s="200">
        <v>0.0</v>
      </c>
    </row>
    <row r="3">
      <c r="A3" s="68">
        <v>2024.0</v>
      </c>
      <c r="B3" s="200">
        <f>SUM('ОСНОВА'!H79:H131)</f>
        <v>1778</v>
      </c>
      <c r="C3" s="200">
        <f t="shared" si="1"/>
        <v>8890</v>
      </c>
      <c r="D3" s="200">
        <v>0.0</v>
      </c>
    </row>
    <row r="4">
      <c r="A4" s="68">
        <v>2025.0</v>
      </c>
      <c r="B4" s="200">
        <f>SUM('ОСНОВА'!H5:H78)</f>
        <v>2833</v>
      </c>
      <c r="C4" s="200">
        <f t="shared" si="1"/>
        <v>14165</v>
      </c>
      <c r="D4" s="86">
        <f>'ОСНОВА'!H4*6*5</f>
        <v>1113.3</v>
      </c>
    </row>
    <row r="17">
      <c r="B17" s="86">
        <f>C3-C4</f>
        <v>-5275</v>
      </c>
      <c r="C17" s="82">
        <f>B17/5</f>
        <v>-1055</v>
      </c>
      <c r="D17" s="82">
        <f>C17/6</f>
        <v>-175.8333333</v>
      </c>
    </row>
    <row r="19">
      <c r="B19" s="68">
        <v>7725.0</v>
      </c>
      <c r="D19" s="82">
        <f>B19*5</f>
        <v>38625</v>
      </c>
    </row>
    <row r="20">
      <c r="A20" s="82">
        <f>B20/8</f>
        <v>154.875</v>
      </c>
      <c r="B20" s="82">
        <f>C20/5</f>
        <v>1239</v>
      </c>
      <c r="C20" s="68">
        <v>6195.0</v>
      </c>
    </row>
    <row r="31">
      <c r="N31" s="20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8">
        <v>2022.0</v>
      </c>
      <c r="B1" s="200">
        <f>SUM('ОСНОВА'!F185:F188)</f>
        <v>185</v>
      </c>
      <c r="C1" s="200">
        <f t="shared" ref="C1:C4" si="1">B1*5</f>
        <v>925</v>
      </c>
      <c r="D1" s="200">
        <v>0.0</v>
      </c>
    </row>
    <row r="2">
      <c r="A2" s="68">
        <v>2023.0</v>
      </c>
      <c r="B2" s="200">
        <f>SUM('ОСНОВА'!F132:F184)</f>
        <v>2035</v>
      </c>
      <c r="C2" s="200">
        <f t="shared" si="1"/>
        <v>10175</v>
      </c>
      <c r="D2" s="200">
        <v>0.0</v>
      </c>
    </row>
    <row r="3">
      <c r="A3" s="68">
        <v>2024.0</v>
      </c>
      <c r="B3" s="200">
        <f>SUM('ОСНОВА'!F79:F131)</f>
        <v>1888</v>
      </c>
      <c r="C3" s="200">
        <f t="shared" si="1"/>
        <v>9440</v>
      </c>
      <c r="D3" s="200">
        <v>0.0</v>
      </c>
    </row>
    <row r="4">
      <c r="A4" s="68">
        <v>2025.0</v>
      </c>
      <c r="B4" s="200">
        <f>SUM('ОСНОВА'!F5:F78)</f>
        <v>2888</v>
      </c>
      <c r="C4" s="200">
        <f t="shared" si="1"/>
        <v>14440</v>
      </c>
      <c r="D4" s="86">
        <f>'ОСНОВА'!F4*6*5</f>
        <v>1166</v>
      </c>
    </row>
    <row r="5">
      <c r="B5" s="86"/>
      <c r="C5" s="86"/>
      <c r="D5" s="86"/>
    </row>
    <row r="6">
      <c r="B6" s="86"/>
      <c r="C6" s="86"/>
      <c r="D6" s="86"/>
    </row>
    <row r="7">
      <c r="B7" s="86"/>
      <c r="C7" s="86"/>
      <c r="D7" s="86"/>
    </row>
    <row r="8">
      <c r="B8" s="86"/>
      <c r="C8" s="86"/>
      <c r="D8" s="86"/>
    </row>
    <row r="9">
      <c r="B9" s="86"/>
      <c r="C9" s="86"/>
      <c r="D9" s="86"/>
    </row>
    <row r="10">
      <c r="B10" s="86"/>
      <c r="C10" s="86"/>
      <c r="D10" s="86"/>
    </row>
    <row r="11">
      <c r="B11" s="86"/>
      <c r="C11" s="86"/>
      <c r="D11" s="86"/>
    </row>
    <row r="12">
      <c r="B12" s="86"/>
      <c r="C12" s="86"/>
      <c r="D12" s="86"/>
    </row>
    <row r="13">
      <c r="B13" s="86"/>
      <c r="C13" s="86"/>
      <c r="D13" s="86"/>
    </row>
    <row r="14">
      <c r="B14" s="86"/>
      <c r="C14" s="86"/>
      <c r="D14" s="86"/>
    </row>
    <row r="15">
      <c r="B15" s="86"/>
      <c r="C15" s="86"/>
      <c r="D15" s="86"/>
    </row>
    <row r="16">
      <c r="B16" s="86"/>
      <c r="C16" s="86"/>
      <c r="D16" s="86"/>
    </row>
    <row r="17">
      <c r="B17" s="86">
        <f>C3-C4</f>
        <v>-5000</v>
      </c>
      <c r="C17" s="86">
        <f>B17/5</f>
        <v>-1000</v>
      </c>
      <c r="D17" s="86">
        <f>C17/6</f>
        <v>-166.6666667</v>
      </c>
    </row>
    <row r="18">
      <c r="B18" s="86"/>
      <c r="C18" s="86"/>
      <c r="D18" s="86"/>
    </row>
    <row r="19">
      <c r="B19" s="200">
        <v>7725.0</v>
      </c>
      <c r="C19" s="86"/>
      <c r="D19" s="86">
        <f>B19*5</f>
        <v>38625</v>
      </c>
    </row>
    <row r="20">
      <c r="A20" s="82">
        <f>B20/8</f>
        <v>154.875</v>
      </c>
      <c r="B20" s="86">
        <f>C20/5</f>
        <v>1239</v>
      </c>
      <c r="C20" s="200">
        <v>6195.0</v>
      </c>
      <c r="D20" s="86"/>
    </row>
    <row r="21">
      <c r="B21" s="86"/>
      <c r="C21" s="86"/>
      <c r="D21" s="86"/>
    </row>
    <row r="22">
      <c r="B22" s="86"/>
      <c r="C22" s="86"/>
      <c r="D22" s="86"/>
    </row>
    <row r="23">
      <c r="B23" s="86"/>
      <c r="C23" s="86"/>
      <c r="D23" s="86"/>
    </row>
    <row r="24">
      <c r="B24" s="86"/>
      <c r="C24" s="86"/>
      <c r="D24" s="86"/>
    </row>
    <row r="25">
      <c r="B25" s="86"/>
      <c r="C25" s="86"/>
      <c r="D25" s="86"/>
    </row>
    <row r="26">
      <c r="B26" s="86"/>
      <c r="C26" s="86"/>
      <c r="D26" s="86"/>
    </row>
    <row r="27">
      <c r="B27" s="86"/>
      <c r="C27" s="86"/>
      <c r="D27" s="86"/>
    </row>
    <row r="28">
      <c r="B28" s="86"/>
      <c r="C28" s="86"/>
      <c r="D28" s="86"/>
    </row>
    <row r="29">
      <c r="B29" s="86"/>
      <c r="C29" s="86"/>
      <c r="D29" s="86"/>
    </row>
    <row r="30">
      <c r="B30" s="86"/>
      <c r="C30" s="86"/>
      <c r="D30" s="86"/>
    </row>
    <row r="31">
      <c r="B31" s="86"/>
      <c r="C31" s="86"/>
      <c r="D31" s="86"/>
      <c r="N31" s="201"/>
    </row>
    <row r="32">
      <c r="B32" s="86"/>
      <c r="C32" s="86"/>
      <c r="D32" s="86"/>
    </row>
    <row r="33">
      <c r="B33" s="86"/>
      <c r="C33" s="86"/>
      <c r="D33" s="86"/>
    </row>
    <row r="34">
      <c r="B34" s="86"/>
      <c r="C34" s="86"/>
      <c r="D34" s="86"/>
    </row>
    <row r="35">
      <c r="B35" s="86"/>
      <c r="C35" s="86"/>
      <c r="D35" s="86"/>
    </row>
    <row r="36">
      <c r="B36" s="86"/>
      <c r="C36" s="86"/>
      <c r="D36" s="86"/>
    </row>
    <row r="37">
      <c r="B37" s="86"/>
      <c r="C37" s="86"/>
      <c r="D37" s="86"/>
    </row>
    <row r="38">
      <c r="B38" s="86"/>
      <c r="C38" s="86"/>
      <c r="D38" s="86"/>
    </row>
    <row r="39">
      <c r="B39" s="86"/>
      <c r="C39" s="86"/>
      <c r="D39" s="86"/>
    </row>
    <row r="40">
      <c r="B40" s="86"/>
      <c r="C40" s="86"/>
      <c r="D40" s="86"/>
    </row>
    <row r="41">
      <c r="B41" s="86"/>
      <c r="C41" s="86"/>
      <c r="D41" s="86"/>
    </row>
    <row r="42">
      <c r="B42" s="86"/>
      <c r="C42" s="86"/>
      <c r="D42" s="86"/>
    </row>
    <row r="43">
      <c r="B43" s="86"/>
      <c r="C43" s="86"/>
      <c r="D43" s="86"/>
    </row>
    <row r="44">
      <c r="B44" s="86"/>
      <c r="C44" s="86"/>
      <c r="D44" s="86"/>
    </row>
    <row r="45">
      <c r="B45" s="86"/>
      <c r="C45" s="86"/>
      <c r="D45" s="86"/>
    </row>
    <row r="46">
      <c r="B46" s="86"/>
      <c r="C46" s="86"/>
      <c r="D46" s="86"/>
    </row>
    <row r="47">
      <c r="B47" s="86"/>
      <c r="C47" s="86"/>
      <c r="D47" s="86"/>
    </row>
    <row r="48">
      <c r="B48" s="86"/>
      <c r="C48" s="86"/>
      <c r="D48" s="86"/>
    </row>
    <row r="49">
      <c r="B49" s="86"/>
      <c r="C49" s="86"/>
      <c r="D49" s="86"/>
    </row>
    <row r="50">
      <c r="B50" s="86"/>
      <c r="C50" s="86"/>
      <c r="D50" s="86"/>
    </row>
    <row r="51">
      <c r="B51" s="86"/>
      <c r="C51" s="86"/>
      <c r="D51" s="86"/>
    </row>
    <row r="52">
      <c r="B52" s="86"/>
      <c r="C52" s="86"/>
      <c r="D52" s="86"/>
    </row>
    <row r="53">
      <c r="B53" s="86"/>
      <c r="C53" s="86"/>
      <c r="D53" s="86"/>
    </row>
    <row r="54">
      <c r="B54" s="86"/>
      <c r="C54" s="86"/>
      <c r="D54" s="86"/>
    </row>
    <row r="55">
      <c r="B55" s="86"/>
      <c r="C55" s="86"/>
      <c r="D55" s="86"/>
    </row>
    <row r="56">
      <c r="B56" s="86"/>
      <c r="C56" s="86"/>
      <c r="D56" s="86"/>
    </row>
    <row r="57">
      <c r="B57" s="86"/>
      <c r="C57" s="86"/>
      <c r="D57" s="86"/>
    </row>
    <row r="58">
      <c r="B58" s="86"/>
      <c r="C58" s="86"/>
      <c r="D58" s="86"/>
    </row>
    <row r="59">
      <c r="B59" s="86"/>
      <c r="C59" s="86"/>
      <c r="D59" s="86"/>
    </row>
    <row r="60">
      <c r="B60" s="86"/>
      <c r="C60" s="86"/>
      <c r="D60" s="86"/>
    </row>
    <row r="61">
      <c r="B61" s="86"/>
      <c r="C61" s="86"/>
      <c r="D61" s="86"/>
    </row>
    <row r="62">
      <c r="B62" s="86"/>
      <c r="C62" s="86"/>
      <c r="D62" s="86"/>
    </row>
    <row r="63">
      <c r="B63" s="86"/>
      <c r="C63" s="86"/>
      <c r="D63" s="86"/>
    </row>
    <row r="64">
      <c r="B64" s="86"/>
      <c r="C64" s="86"/>
      <c r="D64" s="86"/>
    </row>
    <row r="65">
      <c r="B65" s="86"/>
      <c r="C65" s="86"/>
      <c r="D65" s="86"/>
    </row>
    <row r="66">
      <c r="B66" s="86"/>
      <c r="C66" s="86"/>
      <c r="D66" s="86"/>
    </row>
    <row r="67">
      <c r="B67" s="86"/>
      <c r="C67" s="86"/>
      <c r="D67" s="86"/>
    </row>
    <row r="68">
      <c r="B68" s="86"/>
      <c r="C68" s="86"/>
      <c r="D68" s="86"/>
    </row>
    <row r="69">
      <c r="B69" s="86"/>
      <c r="C69" s="86"/>
      <c r="D69" s="86"/>
    </row>
    <row r="70">
      <c r="B70" s="86"/>
      <c r="C70" s="86"/>
      <c r="D70" s="86"/>
    </row>
    <row r="71">
      <c r="B71" s="86"/>
      <c r="C71" s="86"/>
      <c r="D71" s="86"/>
    </row>
    <row r="72">
      <c r="B72" s="86"/>
      <c r="C72" s="86"/>
      <c r="D72" s="86"/>
    </row>
    <row r="73">
      <c r="B73" s="86"/>
      <c r="C73" s="86"/>
      <c r="D73" s="86"/>
    </row>
    <row r="74">
      <c r="B74" s="86"/>
      <c r="C74" s="86"/>
      <c r="D74" s="86"/>
    </row>
    <row r="75">
      <c r="B75" s="86"/>
      <c r="C75" s="86"/>
      <c r="D75" s="86"/>
    </row>
    <row r="76">
      <c r="B76" s="86"/>
      <c r="C76" s="86"/>
      <c r="D76" s="86"/>
    </row>
    <row r="77">
      <c r="B77" s="86"/>
      <c r="C77" s="86"/>
      <c r="D77" s="86"/>
    </row>
    <row r="78">
      <c r="B78" s="86"/>
      <c r="C78" s="86"/>
      <c r="D78" s="86"/>
    </row>
    <row r="79">
      <c r="B79" s="86"/>
      <c r="C79" s="86"/>
      <c r="D79" s="86"/>
    </row>
    <row r="80">
      <c r="B80" s="86"/>
      <c r="C80" s="86"/>
      <c r="D80" s="86"/>
    </row>
    <row r="81">
      <c r="B81" s="86"/>
      <c r="C81" s="86"/>
      <c r="D81" s="86"/>
    </row>
    <row r="82">
      <c r="B82" s="86"/>
      <c r="C82" s="86"/>
      <c r="D82" s="86"/>
    </row>
    <row r="83">
      <c r="B83" s="86"/>
      <c r="C83" s="86"/>
      <c r="D83" s="86"/>
    </row>
    <row r="84">
      <c r="B84" s="86"/>
      <c r="C84" s="86"/>
      <c r="D84" s="86"/>
    </row>
    <row r="85">
      <c r="B85" s="86"/>
      <c r="C85" s="86"/>
      <c r="D85" s="86"/>
    </row>
    <row r="86">
      <c r="B86" s="86"/>
      <c r="C86" s="86"/>
      <c r="D86" s="86"/>
    </row>
    <row r="87">
      <c r="B87" s="86"/>
      <c r="C87" s="86"/>
      <c r="D87" s="86"/>
    </row>
    <row r="88">
      <c r="B88" s="86"/>
      <c r="C88" s="86"/>
      <c r="D88" s="86"/>
    </row>
    <row r="89">
      <c r="B89" s="86"/>
      <c r="C89" s="86"/>
      <c r="D89" s="86"/>
    </row>
    <row r="90">
      <c r="B90" s="86"/>
      <c r="C90" s="86"/>
      <c r="D90" s="86"/>
    </row>
    <row r="91">
      <c r="B91" s="86"/>
      <c r="C91" s="86"/>
      <c r="D91" s="86"/>
    </row>
    <row r="92">
      <c r="B92" s="86"/>
      <c r="C92" s="86"/>
      <c r="D92" s="86"/>
    </row>
    <row r="93">
      <c r="B93" s="86"/>
      <c r="C93" s="86"/>
      <c r="D93" s="86"/>
    </row>
    <row r="94">
      <c r="B94" s="86"/>
      <c r="C94" s="86"/>
      <c r="D94" s="86"/>
    </row>
    <row r="95">
      <c r="B95" s="86"/>
      <c r="C95" s="86"/>
      <c r="D95" s="86"/>
    </row>
    <row r="96">
      <c r="B96" s="86"/>
      <c r="C96" s="86"/>
      <c r="D96" s="86"/>
    </row>
    <row r="97">
      <c r="B97" s="86"/>
      <c r="C97" s="86"/>
      <c r="D97" s="86"/>
    </row>
    <row r="98">
      <c r="B98" s="86"/>
      <c r="C98" s="86"/>
      <c r="D98" s="86"/>
    </row>
    <row r="99">
      <c r="B99" s="86"/>
      <c r="C99" s="86"/>
      <c r="D99" s="86"/>
    </row>
    <row r="100">
      <c r="B100" s="86"/>
      <c r="C100" s="86"/>
      <c r="D100" s="86"/>
    </row>
    <row r="101">
      <c r="B101" s="86"/>
      <c r="C101" s="86"/>
      <c r="D101" s="86"/>
    </row>
    <row r="102">
      <c r="B102" s="86"/>
      <c r="C102" s="86"/>
      <c r="D102" s="86"/>
    </row>
    <row r="103">
      <c r="B103" s="86"/>
      <c r="C103" s="86"/>
      <c r="D103" s="86"/>
    </row>
    <row r="104">
      <c r="B104" s="86"/>
      <c r="C104" s="86"/>
      <c r="D104" s="86"/>
    </row>
    <row r="105">
      <c r="B105" s="86"/>
      <c r="C105" s="86"/>
      <c r="D105" s="86"/>
    </row>
    <row r="106">
      <c r="B106" s="86"/>
      <c r="C106" s="86"/>
      <c r="D106" s="86"/>
    </row>
    <row r="107">
      <c r="B107" s="86"/>
      <c r="C107" s="86"/>
      <c r="D107" s="86"/>
    </row>
    <row r="108">
      <c r="B108" s="86"/>
      <c r="C108" s="86"/>
      <c r="D108" s="86"/>
    </row>
    <row r="109">
      <c r="B109" s="86"/>
      <c r="C109" s="86"/>
      <c r="D109" s="86"/>
    </row>
    <row r="110">
      <c r="B110" s="86"/>
      <c r="C110" s="86"/>
      <c r="D110" s="86"/>
    </row>
    <row r="111">
      <c r="B111" s="86"/>
      <c r="C111" s="86"/>
      <c r="D111" s="86"/>
    </row>
    <row r="112">
      <c r="B112" s="86"/>
      <c r="C112" s="86"/>
      <c r="D112" s="86"/>
    </row>
    <row r="113">
      <c r="B113" s="86"/>
      <c r="C113" s="86"/>
      <c r="D113" s="86"/>
    </row>
    <row r="114">
      <c r="B114" s="86"/>
      <c r="C114" s="86"/>
      <c r="D114" s="86"/>
    </row>
    <row r="115">
      <c r="B115" s="86"/>
      <c r="C115" s="86"/>
      <c r="D115" s="86"/>
    </row>
    <row r="116">
      <c r="B116" s="86"/>
      <c r="C116" s="86"/>
      <c r="D116" s="86"/>
    </row>
    <row r="117">
      <c r="B117" s="86"/>
      <c r="C117" s="86"/>
      <c r="D117" s="86"/>
    </row>
    <row r="118">
      <c r="B118" s="86"/>
      <c r="C118" s="86"/>
      <c r="D118" s="86"/>
    </row>
    <row r="119">
      <c r="B119" s="86"/>
      <c r="C119" s="86"/>
      <c r="D119" s="86"/>
    </row>
    <row r="120">
      <c r="B120" s="86"/>
      <c r="C120" s="86"/>
      <c r="D120" s="86"/>
    </row>
    <row r="121">
      <c r="B121" s="86"/>
      <c r="C121" s="86"/>
      <c r="D121" s="86"/>
    </row>
    <row r="122">
      <c r="B122" s="86"/>
      <c r="C122" s="86"/>
      <c r="D122" s="86"/>
    </row>
    <row r="123">
      <c r="B123" s="86"/>
      <c r="C123" s="86"/>
      <c r="D123" s="86"/>
    </row>
    <row r="124">
      <c r="B124" s="86"/>
      <c r="C124" s="86"/>
      <c r="D124" s="86"/>
    </row>
    <row r="125">
      <c r="B125" s="86"/>
      <c r="C125" s="86"/>
      <c r="D125" s="86"/>
    </row>
    <row r="126">
      <c r="B126" s="86"/>
      <c r="C126" s="86"/>
      <c r="D126" s="86"/>
    </row>
    <row r="127">
      <c r="B127" s="86"/>
      <c r="C127" s="86"/>
      <c r="D127" s="86"/>
    </row>
    <row r="128">
      <c r="B128" s="86"/>
      <c r="C128" s="86"/>
      <c r="D128" s="86"/>
    </row>
    <row r="129">
      <c r="B129" s="86"/>
      <c r="C129" s="86"/>
      <c r="D129" s="86"/>
    </row>
    <row r="130">
      <c r="B130" s="86"/>
      <c r="C130" s="86"/>
      <c r="D130" s="86"/>
    </row>
    <row r="131">
      <c r="B131" s="86"/>
      <c r="C131" s="86"/>
      <c r="D131" s="86"/>
    </row>
    <row r="132">
      <c r="B132" s="86"/>
      <c r="C132" s="86"/>
      <c r="D132" s="86"/>
    </row>
    <row r="133">
      <c r="B133" s="86"/>
      <c r="C133" s="86"/>
      <c r="D133" s="86"/>
    </row>
    <row r="134">
      <c r="B134" s="86"/>
      <c r="C134" s="86"/>
      <c r="D134" s="86"/>
    </row>
    <row r="135">
      <c r="B135" s="86"/>
      <c r="C135" s="86"/>
      <c r="D135" s="86"/>
    </row>
    <row r="136">
      <c r="B136" s="86"/>
      <c r="C136" s="86"/>
      <c r="D136" s="86"/>
    </row>
    <row r="137">
      <c r="B137" s="86"/>
      <c r="C137" s="86"/>
      <c r="D137" s="86"/>
    </row>
    <row r="138">
      <c r="B138" s="86"/>
      <c r="C138" s="86"/>
      <c r="D138" s="86"/>
    </row>
    <row r="139">
      <c r="B139" s="86"/>
      <c r="C139" s="86"/>
      <c r="D139" s="86"/>
    </row>
    <row r="140">
      <c r="B140" s="86"/>
      <c r="C140" s="86"/>
      <c r="D140" s="86"/>
    </row>
    <row r="141">
      <c r="B141" s="86"/>
      <c r="C141" s="86"/>
      <c r="D141" s="86"/>
    </row>
    <row r="142">
      <c r="B142" s="86"/>
      <c r="C142" s="86"/>
      <c r="D142" s="86"/>
    </row>
    <row r="143">
      <c r="B143" s="86"/>
      <c r="C143" s="86"/>
      <c r="D143" s="86"/>
    </row>
    <row r="144">
      <c r="B144" s="86"/>
      <c r="C144" s="86"/>
      <c r="D144" s="86"/>
    </row>
    <row r="145">
      <c r="B145" s="86"/>
      <c r="C145" s="86"/>
      <c r="D145" s="86"/>
    </row>
    <row r="146">
      <c r="B146" s="86"/>
      <c r="C146" s="86"/>
      <c r="D146" s="86"/>
    </row>
    <row r="147">
      <c r="B147" s="86"/>
      <c r="C147" s="86"/>
      <c r="D147" s="86"/>
    </row>
    <row r="148">
      <c r="B148" s="86"/>
      <c r="C148" s="86"/>
      <c r="D148" s="86"/>
    </row>
    <row r="149">
      <c r="B149" s="86"/>
      <c r="C149" s="86"/>
      <c r="D149" s="86"/>
    </row>
    <row r="150">
      <c r="B150" s="86"/>
      <c r="C150" s="86"/>
      <c r="D150" s="86"/>
    </row>
    <row r="151">
      <c r="B151" s="86"/>
      <c r="C151" s="86"/>
      <c r="D151" s="86"/>
    </row>
    <row r="152">
      <c r="B152" s="86"/>
      <c r="C152" s="86"/>
      <c r="D152" s="86"/>
    </row>
    <row r="153">
      <c r="B153" s="86"/>
      <c r="C153" s="86"/>
      <c r="D153" s="86"/>
    </row>
    <row r="154">
      <c r="B154" s="86"/>
      <c r="C154" s="86"/>
      <c r="D154" s="86"/>
    </row>
    <row r="155">
      <c r="B155" s="86"/>
      <c r="C155" s="86"/>
      <c r="D155" s="86"/>
    </row>
    <row r="156">
      <c r="B156" s="86"/>
      <c r="C156" s="86"/>
      <c r="D156" s="86"/>
    </row>
    <row r="157">
      <c r="B157" s="86"/>
      <c r="C157" s="86"/>
      <c r="D157" s="86"/>
    </row>
    <row r="158">
      <c r="B158" s="86"/>
      <c r="C158" s="86"/>
      <c r="D158" s="86"/>
    </row>
    <row r="159">
      <c r="B159" s="86"/>
      <c r="C159" s="86"/>
      <c r="D159" s="86"/>
    </row>
    <row r="160">
      <c r="B160" s="86"/>
      <c r="C160" s="86"/>
      <c r="D160" s="86"/>
    </row>
    <row r="161">
      <c r="B161" s="86"/>
      <c r="C161" s="86"/>
      <c r="D161" s="86"/>
    </row>
    <row r="162">
      <c r="B162" s="86"/>
      <c r="C162" s="86"/>
      <c r="D162" s="86"/>
    </row>
    <row r="163">
      <c r="B163" s="86"/>
      <c r="C163" s="86"/>
      <c r="D163" s="86"/>
    </row>
    <row r="164">
      <c r="B164" s="86"/>
      <c r="C164" s="86"/>
      <c r="D164" s="86"/>
    </row>
    <row r="165">
      <c r="B165" s="86"/>
      <c r="C165" s="86"/>
      <c r="D165" s="86"/>
    </row>
    <row r="166">
      <c r="B166" s="86"/>
      <c r="C166" s="86"/>
      <c r="D166" s="86"/>
    </row>
    <row r="167">
      <c r="B167" s="86"/>
      <c r="C167" s="86"/>
      <c r="D167" s="86"/>
    </row>
    <row r="168">
      <c r="B168" s="86"/>
      <c r="C168" s="86"/>
      <c r="D168" s="86"/>
    </row>
    <row r="169">
      <c r="B169" s="86"/>
      <c r="C169" s="86"/>
      <c r="D169" s="86"/>
    </row>
    <row r="170">
      <c r="B170" s="86"/>
      <c r="C170" s="86"/>
      <c r="D170" s="86"/>
    </row>
    <row r="171">
      <c r="B171" s="86"/>
      <c r="C171" s="86"/>
      <c r="D171" s="86"/>
    </row>
    <row r="172">
      <c r="B172" s="86"/>
      <c r="C172" s="86"/>
      <c r="D172" s="86"/>
    </row>
    <row r="173">
      <c r="B173" s="86"/>
      <c r="C173" s="86"/>
      <c r="D173" s="86"/>
    </row>
    <row r="174">
      <c r="B174" s="86"/>
      <c r="C174" s="86"/>
      <c r="D174" s="86"/>
    </row>
    <row r="175">
      <c r="B175" s="86"/>
      <c r="C175" s="86"/>
      <c r="D175" s="86"/>
    </row>
    <row r="176">
      <c r="B176" s="86"/>
      <c r="C176" s="86"/>
      <c r="D176" s="86"/>
    </row>
    <row r="177">
      <c r="B177" s="86"/>
      <c r="C177" s="86"/>
      <c r="D177" s="86"/>
    </row>
    <row r="178">
      <c r="B178" s="86"/>
      <c r="C178" s="86"/>
      <c r="D178" s="86"/>
    </row>
    <row r="179">
      <c r="B179" s="86"/>
      <c r="C179" s="86"/>
      <c r="D179" s="86"/>
    </row>
    <row r="180">
      <c r="B180" s="86"/>
      <c r="C180" s="86"/>
      <c r="D180" s="86"/>
    </row>
    <row r="181">
      <c r="B181" s="86"/>
      <c r="C181" s="86"/>
      <c r="D181" s="86"/>
    </row>
    <row r="182">
      <c r="B182" s="86"/>
      <c r="C182" s="86"/>
      <c r="D182" s="86"/>
    </row>
    <row r="183">
      <c r="B183" s="86"/>
      <c r="C183" s="86"/>
      <c r="D183" s="86"/>
    </row>
    <row r="184">
      <c r="B184" s="86"/>
      <c r="C184" s="86"/>
      <c r="D184" s="86"/>
    </row>
    <row r="185">
      <c r="B185" s="86"/>
      <c r="C185" s="86"/>
      <c r="D185" s="86"/>
    </row>
    <row r="186">
      <c r="B186" s="86"/>
      <c r="C186" s="86"/>
      <c r="D186" s="86"/>
    </row>
    <row r="187">
      <c r="B187" s="86"/>
      <c r="C187" s="86"/>
      <c r="D187" s="86"/>
    </row>
    <row r="188">
      <c r="B188" s="86"/>
      <c r="C188" s="86"/>
      <c r="D188" s="86"/>
    </row>
    <row r="189">
      <c r="B189" s="86"/>
      <c r="C189" s="86"/>
      <c r="D189" s="86"/>
    </row>
    <row r="190">
      <c r="B190" s="86"/>
      <c r="C190" s="86"/>
      <c r="D190" s="86"/>
    </row>
    <row r="191">
      <c r="B191" s="86"/>
      <c r="C191" s="86"/>
      <c r="D191" s="86"/>
    </row>
    <row r="192">
      <c r="B192" s="86"/>
      <c r="C192" s="86"/>
      <c r="D192" s="86"/>
    </row>
    <row r="193">
      <c r="B193" s="86"/>
      <c r="C193" s="86"/>
      <c r="D193" s="86"/>
    </row>
    <row r="194">
      <c r="B194" s="86"/>
      <c r="C194" s="86"/>
      <c r="D194" s="86"/>
    </row>
    <row r="195">
      <c r="B195" s="86"/>
      <c r="C195" s="86"/>
      <c r="D195" s="86"/>
    </row>
    <row r="196">
      <c r="B196" s="86"/>
      <c r="C196" s="86"/>
      <c r="D196" s="86"/>
    </row>
    <row r="197">
      <c r="B197" s="86"/>
      <c r="C197" s="86"/>
      <c r="D197" s="86"/>
    </row>
    <row r="198">
      <c r="B198" s="86"/>
      <c r="C198" s="86"/>
      <c r="D198" s="86"/>
    </row>
    <row r="199">
      <c r="B199" s="86"/>
      <c r="C199" s="86"/>
      <c r="D199" s="86"/>
    </row>
    <row r="200">
      <c r="B200" s="86"/>
      <c r="C200" s="86"/>
      <c r="D200" s="86"/>
    </row>
    <row r="201">
      <c r="B201" s="86"/>
      <c r="C201" s="86"/>
      <c r="D201" s="86"/>
    </row>
    <row r="202">
      <c r="B202" s="86"/>
      <c r="C202" s="86"/>
      <c r="D202" s="86"/>
    </row>
    <row r="203">
      <c r="B203" s="86"/>
      <c r="C203" s="86"/>
      <c r="D203" s="86"/>
    </row>
    <row r="204">
      <c r="B204" s="86"/>
      <c r="C204" s="86"/>
      <c r="D204" s="86"/>
    </row>
    <row r="205">
      <c r="B205" s="86"/>
      <c r="C205" s="86"/>
      <c r="D205" s="86"/>
    </row>
    <row r="206">
      <c r="B206" s="86"/>
      <c r="C206" s="86"/>
      <c r="D206" s="86"/>
    </row>
    <row r="207">
      <c r="B207" s="86"/>
      <c r="C207" s="86"/>
      <c r="D207" s="86"/>
    </row>
    <row r="208">
      <c r="B208" s="86"/>
      <c r="C208" s="86"/>
      <c r="D208" s="86"/>
    </row>
    <row r="209">
      <c r="B209" s="86"/>
      <c r="C209" s="86"/>
      <c r="D209" s="86"/>
    </row>
    <row r="210">
      <c r="B210" s="86"/>
      <c r="C210" s="86"/>
      <c r="D210" s="86"/>
    </row>
    <row r="211">
      <c r="B211" s="86"/>
      <c r="C211" s="86"/>
      <c r="D211" s="86"/>
    </row>
    <row r="212">
      <c r="B212" s="86"/>
      <c r="C212" s="86"/>
      <c r="D212" s="86"/>
    </row>
    <row r="213">
      <c r="B213" s="86"/>
      <c r="C213" s="86"/>
      <c r="D213" s="86"/>
    </row>
    <row r="214">
      <c r="B214" s="86"/>
      <c r="C214" s="86"/>
      <c r="D214" s="86"/>
    </row>
    <row r="215">
      <c r="B215" s="86"/>
      <c r="C215" s="86"/>
      <c r="D215" s="86"/>
    </row>
    <row r="216">
      <c r="B216" s="86"/>
      <c r="C216" s="86"/>
      <c r="D216" s="86"/>
    </row>
    <row r="217">
      <c r="B217" s="86"/>
      <c r="C217" s="86"/>
      <c r="D217" s="86"/>
    </row>
    <row r="218">
      <c r="B218" s="86"/>
      <c r="C218" s="86"/>
      <c r="D218" s="86"/>
    </row>
    <row r="219">
      <c r="B219" s="86"/>
      <c r="C219" s="86"/>
      <c r="D219" s="86"/>
    </row>
    <row r="220">
      <c r="B220" s="86"/>
      <c r="C220" s="86"/>
      <c r="D220" s="86"/>
    </row>
    <row r="221">
      <c r="B221" s="86"/>
      <c r="C221" s="86"/>
      <c r="D221" s="86"/>
    </row>
    <row r="222">
      <c r="B222" s="86"/>
      <c r="C222" s="86"/>
      <c r="D222" s="86"/>
    </row>
    <row r="223">
      <c r="B223" s="86"/>
      <c r="C223" s="86"/>
      <c r="D223" s="86"/>
    </row>
    <row r="224">
      <c r="B224" s="86"/>
      <c r="C224" s="86"/>
      <c r="D224" s="86"/>
    </row>
    <row r="225">
      <c r="B225" s="86"/>
      <c r="C225" s="86"/>
      <c r="D225" s="86"/>
    </row>
    <row r="226">
      <c r="B226" s="86"/>
      <c r="C226" s="86"/>
      <c r="D226" s="86"/>
    </row>
    <row r="227">
      <c r="B227" s="86"/>
      <c r="C227" s="86"/>
      <c r="D227" s="86"/>
    </row>
    <row r="228">
      <c r="B228" s="86"/>
      <c r="C228" s="86"/>
      <c r="D228" s="86"/>
    </row>
    <row r="229">
      <c r="B229" s="86"/>
      <c r="C229" s="86"/>
      <c r="D229" s="86"/>
    </row>
    <row r="230">
      <c r="B230" s="86"/>
      <c r="C230" s="86"/>
      <c r="D230" s="86"/>
    </row>
    <row r="231">
      <c r="B231" s="86"/>
      <c r="C231" s="86"/>
      <c r="D231" s="86"/>
    </row>
    <row r="232">
      <c r="B232" s="86"/>
      <c r="C232" s="86"/>
      <c r="D232" s="86"/>
    </row>
    <row r="233">
      <c r="B233" s="86"/>
      <c r="C233" s="86"/>
      <c r="D233" s="86"/>
    </row>
    <row r="234">
      <c r="B234" s="86"/>
      <c r="C234" s="86"/>
      <c r="D234" s="86"/>
    </row>
    <row r="235">
      <c r="B235" s="86"/>
      <c r="C235" s="86"/>
      <c r="D235" s="86"/>
    </row>
    <row r="236">
      <c r="B236" s="86"/>
      <c r="C236" s="86"/>
      <c r="D236" s="86"/>
    </row>
    <row r="237">
      <c r="B237" s="86"/>
      <c r="C237" s="86"/>
      <c r="D237" s="86"/>
    </row>
    <row r="238">
      <c r="B238" s="86"/>
      <c r="C238" s="86"/>
      <c r="D238" s="86"/>
    </row>
    <row r="239">
      <c r="B239" s="86"/>
      <c r="C239" s="86"/>
      <c r="D239" s="86"/>
    </row>
    <row r="240">
      <c r="B240" s="86"/>
      <c r="C240" s="86"/>
      <c r="D240" s="86"/>
    </row>
    <row r="241">
      <c r="B241" s="86"/>
      <c r="C241" s="86"/>
      <c r="D241" s="86"/>
    </row>
    <row r="242">
      <c r="B242" s="86"/>
      <c r="C242" s="86"/>
      <c r="D242" s="86"/>
    </row>
    <row r="243">
      <c r="B243" s="86"/>
      <c r="C243" s="86"/>
      <c r="D243" s="86"/>
    </row>
    <row r="244">
      <c r="B244" s="86"/>
      <c r="C244" s="86"/>
      <c r="D244" s="86"/>
    </row>
    <row r="245">
      <c r="B245" s="86"/>
      <c r="C245" s="86"/>
      <c r="D245" s="86"/>
    </row>
    <row r="246">
      <c r="B246" s="86"/>
      <c r="C246" s="86"/>
      <c r="D246" s="86"/>
    </row>
    <row r="247">
      <c r="B247" s="86"/>
      <c r="C247" s="86"/>
      <c r="D247" s="86"/>
    </row>
    <row r="248">
      <c r="B248" s="86"/>
      <c r="C248" s="86"/>
      <c r="D248" s="86"/>
    </row>
    <row r="249">
      <c r="B249" s="86"/>
      <c r="C249" s="86"/>
      <c r="D249" s="86"/>
    </row>
    <row r="250">
      <c r="B250" s="86"/>
      <c r="C250" s="86"/>
      <c r="D250" s="86"/>
    </row>
    <row r="251">
      <c r="B251" s="86"/>
      <c r="C251" s="86"/>
      <c r="D251" s="86"/>
    </row>
    <row r="252">
      <c r="B252" s="86"/>
      <c r="C252" s="86"/>
      <c r="D252" s="86"/>
    </row>
    <row r="253">
      <c r="B253" s="86"/>
      <c r="C253" s="86"/>
      <c r="D253" s="86"/>
    </row>
    <row r="254">
      <c r="B254" s="86"/>
      <c r="C254" s="86"/>
      <c r="D254" s="86"/>
    </row>
    <row r="255">
      <c r="B255" s="86"/>
      <c r="C255" s="86"/>
      <c r="D255" s="86"/>
    </row>
    <row r="256">
      <c r="B256" s="86"/>
      <c r="C256" s="86"/>
      <c r="D256" s="86"/>
    </row>
    <row r="257">
      <c r="B257" s="86"/>
      <c r="C257" s="86"/>
      <c r="D257" s="86"/>
    </row>
    <row r="258">
      <c r="B258" s="86"/>
      <c r="C258" s="86"/>
      <c r="D258" s="86"/>
    </row>
    <row r="259">
      <c r="B259" s="86"/>
      <c r="C259" s="86"/>
      <c r="D259" s="86"/>
    </row>
    <row r="260">
      <c r="B260" s="86"/>
      <c r="C260" s="86"/>
      <c r="D260" s="86"/>
    </row>
    <row r="261">
      <c r="B261" s="86"/>
      <c r="C261" s="86"/>
      <c r="D261" s="86"/>
    </row>
    <row r="262">
      <c r="B262" s="86"/>
      <c r="C262" s="86"/>
      <c r="D262" s="86"/>
    </row>
    <row r="263">
      <c r="B263" s="86"/>
      <c r="C263" s="86"/>
      <c r="D263" s="86"/>
    </row>
    <row r="264">
      <c r="B264" s="86"/>
      <c r="C264" s="86"/>
      <c r="D264" s="86"/>
    </row>
    <row r="265">
      <c r="B265" s="86"/>
      <c r="C265" s="86"/>
      <c r="D265" s="86"/>
    </row>
    <row r="266">
      <c r="B266" s="86"/>
      <c r="C266" s="86"/>
      <c r="D266" s="86"/>
    </row>
    <row r="267">
      <c r="B267" s="86"/>
      <c r="C267" s="86"/>
      <c r="D267" s="86"/>
    </row>
    <row r="268">
      <c r="B268" s="86"/>
      <c r="C268" s="86"/>
      <c r="D268" s="86"/>
    </row>
    <row r="269">
      <c r="B269" s="86"/>
      <c r="C269" s="86"/>
      <c r="D269" s="86"/>
    </row>
    <row r="270">
      <c r="B270" s="86"/>
      <c r="C270" s="86"/>
      <c r="D270" s="86"/>
    </row>
    <row r="271">
      <c r="B271" s="86"/>
      <c r="C271" s="86"/>
      <c r="D271" s="86"/>
    </row>
    <row r="272">
      <c r="B272" s="86"/>
      <c r="C272" s="86"/>
      <c r="D272" s="86"/>
    </row>
    <row r="273">
      <c r="B273" s="86"/>
      <c r="C273" s="86"/>
      <c r="D273" s="86"/>
    </row>
    <row r="274">
      <c r="B274" s="86"/>
      <c r="C274" s="86"/>
      <c r="D274" s="86"/>
    </row>
    <row r="275">
      <c r="B275" s="86"/>
      <c r="C275" s="86"/>
      <c r="D275" s="86"/>
    </row>
    <row r="276">
      <c r="B276" s="86"/>
      <c r="C276" s="86"/>
      <c r="D276" s="86"/>
    </row>
    <row r="277">
      <c r="B277" s="86"/>
      <c r="C277" s="86"/>
      <c r="D277" s="86"/>
    </row>
    <row r="278">
      <c r="B278" s="86"/>
      <c r="C278" s="86"/>
      <c r="D278" s="86"/>
    </row>
    <row r="279">
      <c r="B279" s="86"/>
      <c r="C279" s="86"/>
      <c r="D279" s="86"/>
    </row>
    <row r="280">
      <c r="B280" s="86"/>
      <c r="C280" s="86"/>
      <c r="D280" s="86"/>
    </row>
    <row r="281">
      <c r="B281" s="86"/>
      <c r="C281" s="86"/>
      <c r="D281" s="86"/>
    </row>
    <row r="282">
      <c r="B282" s="86"/>
      <c r="C282" s="86"/>
      <c r="D282" s="86"/>
    </row>
    <row r="283">
      <c r="B283" s="86"/>
      <c r="C283" s="86"/>
      <c r="D283" s="86"/>
    </row>
    <row r="284">
      <c r="B284" s="86"/>
      <c r="C284" s="86"/>
      <c r="D284" s="86"/>
    </row>
    <row r="285">
      <c r="B285" s="86"/>
      <c r="C285" s="86"/>
      <c r="D285" s="86"/>
    </row>
    <row r="286">
      <c r="B286" s="86"/>
      <c r="C286" s="86"/>
      <c r="D286" s="86"/>
    </row>
    <row r="287">
      <c r="B287" s="86"/>
      <c r="C287" s="86"/>
      <c r="D287" s="86"/>
    </row>
    <row r="288">
      <c r="B288" s="86"/>
      <c r="C288" s="86"/>
      <c r="D288" s="86"/>
    </row>
    <row r="289">
      <c r="B289" s="86"/>
      <c r="C289" s="86"/>
      <c r="D289" s="86"/>
    </row>
    <row r="290">
      <c r="B290" s="86"/>
      <c r="C290" s="86"/>
      <c r="D290" s="86"/>
    </row>
    <row r="291">
      <c r="B291" s="86"/>
      <c r="C291" s="86"/>
      <c r="D291" s="86"/>
    </row>
    <row r="292">
      <c r="B292" s="86"/>
      <c r="C292" s="86"/>
      <c r="D292" s="86"/>
    </row>
    <row r="293">
      <c r="B293" s="86"/>
      <c r="C293" s="86"/>
      <c r="D293" s="86"/>
    </row>
    <row r="294">
      <c r="B294" s="86"/>
      <c r="C294" s="86"/>
      <c r="D294" s="86"/>
    </row>
    <row r="295">
      <c r="B295" s="86"/>
      <c r="C295" s="86"/>
      <c r="D295" s="86"/>
    </row>
    <row r="296">
      <c r="B296" s="86"/>
      <c r="C296" s="86"/>
      <c r="D296" s="86"/>
    </row>
    <row r="297">
      <c r="B297" s="86"/>
      <c r="C297" s="86"/>
      <c r="D297" s="86"/>
    </row>
    <row r="298">
      <c r="B298" s="86"/>
      <c r="C298" s="86"/>
      <c r="D298" s="86"/>
    </row>
    <row r="299">
      <c r="B299" s="86"/>
      <c r="C299" s="86"/>
      <c r="D299" s="86"/>
    </row>
    <row r="300">
      <c r="B300" s="86"/>
      <c r="C300" s="86"/>
      <c r="D300" s="86"/>
    </row>
    <row r="301">
      <c r="B301" s="86"/>
      <c r="C301" s="86"/>
      <c r="D301" s="86"/>
    </row>
    <row r="302">
      <c r="B302" s="86"/>
      <c r="C302" s="86"/>
      <c r="D302" s="86"/>
    </row>
    <row r="303">
      <c r="B303" s="86"/>
      <c r="C303" s="86"/>
      <c r="D303" s="86"/>
    </row>
    <row r="304">
      <c r="B304" s="86"/>
      <c r="C304" s="86"/>
      <c r="D304" s="86"/>
    </row>
    <row r="305">
      <c r="B305" s="86"/>
      <c r="C305" s="86"/>
      <c r="D305" s="86"/>
    </row>
    <row r="306">
      <c r="B306" s="86"/>
      <c r="C306" s="86"/>
      <c r="D306" s="86"/>
    </row>
    <row r="307">
      <c r="B307" s="86"/>
      <c r="C307" s="86"/>
      <c r="D307" s="86"/>
    </row>
    <row r="308">
      <c r="B308" s="86"/>
      <c r="C308" s="86"/>
      <c r="D308" s="86"/>
    </row>
    <row r="309">
      <c r="B309" s="86"/>
      <c r="C309" s="86"/>
      <c r="D309" s="86"/>
    </row>
    <row r="310">
      <c r="B310" s="86"/>
      <c r="C310" s="86"/>
      <c r="D310" s="86"/>
    </row>
    <row r="311">
      <c r="B311" s="86"/>
      <c r="C311" s="86"/>
      <c r="D311" s="86"/>
    </row>
    <row r="312">
      <c r="B312" s="86"/>
      <c r="C312" s="86"/>
      <c r="D312" s="86"/>
    </row>
    <row r="313">
      <c r="B313" s="86"/>
      <c r="C313" s="86"/>
      <c r="D313" s="86"/>
    </row>
    <row r="314">
      <c r="B314" s="86"/>
      <c r="C314" s="86"/>
      <c r="D314" s="86"/>
    </row>
    <row r="315">
      <c r="B315" s="86"/>
      <c r="C315" s="86"/>
      <c r="D315" s="86"/>
    </row>
    <row r="316">
      <c r="B316" s="86"/>
      <c r="C316" s="86"/>
      <c r="D316" s="86"/>
    </row>
    <row r="317">
      <c r="B317" s="86"/>
      <c r="C317" s="86"/>
      <c r="D317" s="86"/>
    </row>
    <row r="318">
      <c r="B318" s="86"/>
      <c r="C318" s="86"/>
      <c r="D318" s="86"/>
    </row>
    <row r="319">
      <c r="B319" s="86"/>
      <c r="C319" s="86"/>
      <c r="D319" s="86"/>
    </row>
    <row r="320">
      <c r="B320" s="86"/>
      <c r="C320" s="86"/>
      <c r="D320" s="86"/>
    </row>
    <row r="321">
      <c r="B321" s="86"/>
      <c r="C321" s="86"/>
      <c r="D321" s="86"/>
    </row>
    <row r="322">
      <c r="B322" s="86"/>
      <c r="C322" s="86"/>
      <c r="D322" s="86"/>
    </row>
    <row r="323">
      <c r="B323" s="86"/>
      <c r="C323" s="86"/>
      <c r="D323" s="86"/>
    </row>
    <row r="324">
      <c r="B324" s="86"/>
      <c r="C324" s="86"/>
      <c r="D324" s="86"/>
    </row>
    <row r="325">
      <c r="B325" s="86"/>
      <c r="C325" s="86"/>
      <c r="D325" s="86"/>
    </row>
    <row r="326">
      <c r="B326" s="86"/>
      <c r="C326" s="86"/>
      <c r="D326" s="86"/>
    </row>
    <row r="327">
      <c r="B327" s="86"/>
      <c r="C327" s="86"/>
      <c r="D327" s="86"/>
    </row>
    <row r="328">
      <c r="B328" s="86"/>
      <c r="C328" s="86"/>
      <c r="D328" s="86"/>
    </row>
    <row r="329">
      <c r="B329" s="86"/>
      <c r="C329" s="86"/>
      <c r="D329" s="86"/>
    </row>
    <row r="330">
      <c r="B330" s="86"/>
      <c r="C330" s="86"/>
      <c r="D330" s="86"/>
    </row>
    <row r="331">
      <c r="B331" s="86"/>
      <c r="C331" s="86"/>
      <c r="D331" s="86"/>
    </row>
    <row r="332">
      <c r="B332" s="86"/>
      <c r="C332" s="86"/>
      <c r="D332" s="86"/>
    </row>
    <row r="333">
      <c r="B333" s="86"/>
      <c r="C333" s="86"/>
      <c r="D333" s="86"/>
    </row>
    <row r="334">
      <c r="B334" s="86"/>
      <c r="C334" s="86"/>
      <c r="D334" s="86"/>
    </row>
    <row r="335">
      <c r="B335" s="86"/>
      <c r="C335" s="86"/>
      <c r="D335" s="86"/>
    </row>
    <row r="336">
      <c r="B336" s="86"/>
      <c r="C336" s="86"/>
      <c r="D336" s="86"/>
    </row>
    <row r="337">
      <c r="B337" s="86"/>
      <c r="C337" s="86"/>
      <c r="D337" s="86"/>
    </row>
    <row r="338">
      <c r="B338" s="86"/>
      <c r="C338" s="86"/>
      <c r="D338" s="86"/>
    </row>
    <row r="339">
      <c r="B339" s="86"/>
      <c r="C339" s="86"/>
      <c r="D339" s="86"/>
    </row>
    <row r="340">
      <c r="B340" s="86"/>
      <c r="C340" s="86"/>
      <c r="D340" s="86"/>
    </row>
    <row r="341">
      <c r="B341" s="86"/>
      <c r="C341" s="86"/>
      <c r="D341" s="86"/>
    </row>
    <row r="342">
      <c r="B342" s="86"/>
      <c r="C342" s="86"/>
      <c r="D342" s="86"/>
    </row>
    <row r="343">
      <c r="B343" s="86"/>
      <c r="C343" s="86"/>
      <c r="D343" s="86"/>
    </row>
    <row r="344">
      <c r="B344" s="86"/>
      <c r="C344" s="86"/>
      <c r="D344" s="86"/>
    </row>
    <row r="345">
      <c r="B345" s="86"/>
      <c r="C345" s="86"/>
      <c r="D345" s="86"/>
    </row>
    <row r="346">
      <c r="B346" s="86"/>
      <c r="C346" s="86"/>
      <c r="D346" s="86"/>
    </row>
    <row r="347">
      <c r="B347" s="86"/>
      <c r="C347" s="86"/>
      <c r="D347" s="86"/>
    </row>
    <row r="348">
      <c r="B348" s="86"/>
      <c r="C348" s="86"/>
      <c r="D348" s="86"/>
    </row>
    <row r="349">
      <c r="B349" s="86"/>
      <c r="C349" s="86"/>
      <c r="D349" s="86"/>
    </row>
    <row r="350">
      <c r="B350" s="86"/>
      <c r="C350" s="86"/>
      <c r="D350" s="86"/>
    </row>
    <row r="351">
      <c r="B351" s="86"/>
      <c r="C351" s="86"/>
      <c r="D351" s="86"/>
    </row>
    <row r="352">
      <c r="B352" s="86"/>
      <c r="C352" s="86"/>
      <c r="D352" s="86"/>
    </row>
    <row r="353">
      <c r="B353" s="86"/>
      <c r="C353" s="86"/>
      <c r="D353" s="86"/>
    </row>
    <row r="354">
      <c r="B354" s="86"/>
      <c r="C354" s="86"/>
      <c r="D354" s="86"/>
    </row>
    <row r="355">
      <c r="B355" s="86"/>
      <c r="C355" s="86"/>
      <c r="D355" s="86"/>
    </row>
    <row r="356">
      <c r="B356" s="86"/>
      <c r="C356" s="86"/>
      <c r="D356" s="86"/>
    </row>
    <row r="357">
      <c r="B357" s="86"/>
      <c r="C357" s="86"/>
      <c r="D357" s="86"/>
    </row>
    <row r="358">
      <c r="B358" s="86"/>
      <c r="C358" s="86"/>
      <c r="D358" s="86"/>
    </row>
    <row r="359">
      <c r="B359" s="86"/>
      <c r="C359" s="86"/>
      <c r="D359" s="86"/>
    </row>
    <row r="360">
      <c r="B360" s="86"/>
      <c r="C360" s="86"/>
      <c r="D360" s="86"/>
    </row>
    <row r="361">
      <c r="B361" s="86"/>
      <c r="C361" s="86"/>
      <c r="D361" s="86"/>
    </row>
    <row r="362">
      <c r="B362" s="86"/>
      <c r="C362" s="86"/>
      <c r="D362" s="86"/>
    </row>
    <row r="363">
      <c r="B363" s="86"/>
      <c r="C363" s="86"/>
      <c r="D363" s="86"/>
    </row>
    <row r="364">
      <c r="B364" s="86"/>
      <c r="C364" s="86"/>
      <c r="D364" s="86"/>
    </row>
    <row r="365">
      <c r="B365" s="86"/>
      <c r="C365" s="86"/>
      <c r="D365" s="86"/>
    </row>
    <row r="366">
      <c r="B366" s="86"/>
      <c r="C366" s="86"/>
      <c r="D366" s="86"/>
    </row>
    <row r="367">
      <c r="B367" s="86"/>
      <c r="C367" s="86"/>
      <c r="D367" s="86"/>
    </row>
    <row r="368">
      <c r="B368" s="86"/>
      <c r="C368" s="86"/>
      <c r="D368" s="86"/>
    </row>
    <row r="369">
      <c r="B369" s="86"/>
      <c r="C369" s="86"/>
      <c r="D369" s="86"/>
    </row>
    <row r="370">
      <c r="B370" s="86"/>
      <c r="C370" s="86"/>
      <c r="D370" s="86"/>
    </row>
    <row r="371">
      <c r="B371" s="86"/>
      <c r="C371" s="86"/>
      <c r="D371" s="86"/>
    </row>
    <row r="372">
      <c r="B372" s="86"/>
      <c r="C372" s="86"/>
      <c r="D372" s="86"/>
    </row>
    <row r="373">
      <c r="B373" s="86"/>
      <c r="C373" s="86"/>
      <c r="D373" s="86"/>
    </row>
    <row r="374">
      <c r="B374" s="86"/>
      <c r="C374" s="86"/>
      <c r="D374" s="86"/>
    </row>
    <row r="375">
      <c r="B375" s="86"/>
      <c r="C375" s="86"/>
      <c r="D375" s="86"/>
    </row>
    <row r="376">
      <c r="B376" s="86"/>
      <c r="C376" s="86"/>
      <c r="D376" s="86"/>
    </row>
    <row r="377">
      <c r="B377" s="86"/>
      <c r="C377" s="86"/>
      <c r="D377" s="86"/>
    </row>
    <row r="378">
      <c r="B378" s="86"/>
      <c r="C378" s="86"/>
      <c r="D378" s="86"/>
    </row>
    <row r="379">
      <c r="B379" s="86"/>
      <c r="C379" s="86"/>
      <c r="D379" s="86"/>
    </row>
    <row r="380">
      <c r="B380" s="86"/>
      <c r="C380" s="86"/>
      <c r="D380" s="86"/>
    </row>
    <row r="381">
      <c r="B381" s="86"/>
      <c r="C381" s="86"/>
      <c r="D381" s="86"/>
    </row>
    <row r="382">
      <c r="B382" s="86"/>
      <c r="C382" s="86"/>
      <c r="D382" s="86"/>
    </row>
    <row r="383">
      <c r="B383" s="86"/>
      <c r="C383" s="86"/>
      <c r="D383" s="86"/>
    </row>
    <row r="384">
      <c r="B384" s="86"/>
      <c r="C384" s="86"/>
      <c r="D384" s="86"/>
    </row>
    <row r="385">
      <c r="B385" s="86"/>
      <c r="C385" s="86"/>
      <c r="D385" s="86"/>
    </row>
    <row r="386">
      <c r="B386" s="86"/>
      <c r="C386" s="86"/>
      <c r="D386" s="86"/>
    </row>
    <row r="387">
      <c r="B387" s="86"/>
      <c r="C387" s="86"/>
      <c r="D387" s="86"/>
    </row>
    <row r="388">
      <c r="B388" s="86"/>
      <c r="C388" s="86"/>
      <c r="D388" s="86"/>
    </row>
    <row r="389">
      <c r="B389" s="86"/>
      <c r="C389" s="86"/>
      <c r="D389" s="86"/>
    </row>
    <row r="390">
      <c r="B390" s="86"/>
      <c r="C390" s="86"/>
      <c r="D390" s="86"/>
    </row>
    <row r="391">
      <c r="B391" s="86"/>
      <c r="C391" s="86"/>
      <c r="D391" s="86"/>
    </row>
    <row r="392">
      <c r="B392" s="86"/>
      <c r="C392" s="86"/>
      <c r="D392" s="86"/>
    </row>
    <row r="393">
      <c r="B393" s="86"/>
      <c r="C393" s="86"/>
      <c r="D393" s="86"/>
    </row>
    <row r="394">
      <c r="B394" s="86"/>
      <c r="C394" s="86"/>
      <c r="D394" s="86"/>
    </row>
    <row r="395">
      <c r="B395" s="86"/>
      <c r="C395" s="86"/>
      <c r="D395" s="86"/>
    </row>
    <row r="396">
      <c r="B396" s="86"/>
      <c r="C396" s="86"/>
      <c r="D396" s="86"/>
    </row>
    <row r="397">
      <c r="B397" s="86"/>
      <c r="C397" s="86"/>
      <c r="D397" s="86"/>
    </row>
    <row r="398">
      <c r="B398" s="86"/>
      <c r="C398" s="86"/>
      <c r="D398" s="86"/>
    </row>
    <row r="399">
      <c r="B399" s="86"/>
      <c r="C399" s="86"/>
      <c r="D399" s="86"/>
    </row>
    <row r="400">
      <c r="B400" s="86"/>
      <c r="C400" s="86"/>
      <c r="D400" s="86"/>
    </row>
    <row r="401">
      <c r="B401" s="86"/>
      <c r="C401" s="86"/>
      <c r="D401" s="86"/>
    </row>
    <row r="402">
      <c r="B402" s="86"/>
      <c r="C402" s="86"/>
      <c r="D402" s="86"/>
    </row>
    <row r="403">
      <c r="B403" s="86"/>
      <c r="C403" s="86"/>
      <c r="D403" s="86"/>
    </row>
    <row r="404">
      <c r="B404" s="86"/>
      <c r="C404" s="86"/>
      <c r="D404" s="86"/>
    </row>
    <row r="405">
      <c r="B405" s="86"/>
      <c r="C405" s="86"/>
      <c r="D405" s="86"/>
    </row>
    <row r="406">
      <c r="B406" s="86"/>
      <c r="C406" s="86"/>
      <c r="D406" s="86"/>
    </row>
    <row r="407">
      <c r="B407" s="86"/>
      <c r="C407" s="86"/>
      <c r="D407" s="86"/>
    </row>
    <row r="408">
      <c r="B408" s="86"/>
      <c r="C408" s="86"/>
      <c r="D408" s="86"/>
    </row>
    <row r="409">
      <c r="B409" s="86"/>
      <c r="C409" s="86"/>
      <c r="D409" s="86"/>
    </row>
    <row r="410">
      <c r="B410" s="86"/>
      <c r="C410" s="86"/>
      <c r="D410" s="86"/>
    </row>
    <row r="411">
      <c r="B411" s="86"/>
      <c r="C411" s="86"/>
      <c r="D411" s="86"/>
    </row>
    <row r="412">
      <c r="B412" s="86"/>
      <c r="C412" s="86"/>
      <c r="D412" s="86"/>
    </row>
    <row r="413">
      <c r="B413" s="86"/>
      <c r="C413" s="86"/>
      <c r="D413" s="86"/>
    </row>
    <row r="414">
      <c r="B414" s="86"/>
      <c r="C414" s="86"/>
      <c r="D414" s="86"/>
    </row>
    <row r="415">
      <c r="B415" s="86"/>
      <c r="C415" s="86"/>
      <c r="D415" s="86"/>
    </row>
    <row r="416">
      <c r="B416" s="86"/>
      <c r="C416" s="86"/>
      <c r="D416" s="86"/>
    </row>
    <row r="417">
      <c r="B417" s="86"/>
      <c r="C417" s="86"/>
      <c r="D417" s="86"/>
    </row>
    <row r="418">
      <c r="B418" s="86"/>
      <c r="C418" s="86"/>
      <c r="D418" s="86"/>
    </row>
    <row r="419">
      <c r="B419" s="86"/>
      <c r="C419" s="86"/>
      <c r="D419" s="86"/>
    </row>
    <row r="420">
      <c r="B420" s="86"/>
      <c r="C420" s="86"/>
      <c r="D420" s="86"/>
    </row>
    <row r="421">
      <c r="B421" s="86"/>
      <c r="C421" s="86"/>
      <c r="D421" s="86"/>
    </row>
    <row r="422">
      <c r="B422" s="86"/>
      <c r="C422" s="86"/>
      <c r="D422" s="86"/>
    </row>
    <row r="423">
      <c r="B423" s="86"/>
      <c r="C423" s="86"/>
      <c r="D423" s="86"/>
    </row>
    <row r="424">
      <c r="B424" s="86"/>
      <c r="C424" s="86"/>
      <c r="D424" s="86"/>
    </row>
    <row r="425">
      <c r="B425" s="86"/>
      <c r="C425" s="86"/>
      <c r="D425" s="86"/>
    </row>
    <row r="426">
      <c r="B426" s="86"/>
      <c r="C426" s="86"/>
      <c r="D426" s="86"/>
    </row>
    <row r="427">
      <c r="B427" s="86"/>
      <c r="C427" s="86"/>
      <c r="D427" s="86"/>
    </row>
    <row r="428">
      <c r="B428" s="86"/>
      <c r="C428" s="86"/>
      <c r="D428" s="86"/>
    </row>
    <row r="429">
      <c r="B429" s="86"/>
      <c r="C429" s="86"/>
      <c r="D429" s="86"/>
    </row>
    <row r="430">
      <c r="B430" s="86"/>
      <c r="C430" s="86"/>
      <c r="D430" s="86"/>
    </row>
    <row r="431">
      <c r="B431" s="86"/>
      <c r="C431" s="86"/>
      <c r="D431" s="86"/>
    </row>
    <row r="432">
      <c r="B432" s="86"/>
      <c r="C432" s="86"/>
      <c r="D432" s="86"/>
    </row>
    <row r="433">
      <c r="B433" s="86"/>
      <c r="C433" s="86"/>
      <c r="D433" s="86"/>
    </row>
    <row r="434">
      <c r="B434" s="86"/>
      <c r="C434" s="86"/>
      <c r="D434" s="86"/>
    </row>
    <row r="435">
      <c r="B435" s="86"/>
      <c r="C435" s="86"/>
      <c r="D435" s="86"/>
    </row>
    <row r="436">
      <c r="B436" s="86"/>
      <c r="C436" s="86"/>
      <c r="D436" s="86"/>
    </row>
    <row r="437">
      <c r="B437" s="86"/>
      <c r="C437" s="86"/>
      <c r="D437" s="86"/>
    </row>
    <row r="438">
      <c r="B438" s="86"/>
      <c r="C438" s="86"/>
      <c r="D438" s="86"/>
    </row>
    <row r="439">
      <c r="B439" s="86"/>
      <c r="C439" s="86"/>
      <c r="D439" s="86"/>
    </row>
    <row r="440">
      <c r="B440" s="86"/>
      <c r="C440" s="86"/>
      <c r="D440" s="86"/>
    </row>
    <row r="441">
      <c r="B441" s="86"/>
      <c r="C441" s="86"/>
      <c r="D441" s="86"/>
    </row>
    <row r="442">
      <c r="B442" s="86"/>
      <c r="C442" s="86"/>
      <c r="D442" s="86"/>
    </row>
    <row r="443">
      <c r="B443" s="86"/>
      <c r="C443" s="86"/>
      <c r="D443" s="86"/>
    </row>
    <row r="444">
      <c r="B444" s="86"/>
      <c r="C444" s="86"/>
      <c r="D444" s="86"/>
    </row>
    <row r="445">
      <c r="B445" s="86"/>
      <c r="C445" s="86"/>
      <c r="D445" s="86"/>
    </row>
    <row r="446">
      <c r="B446" s="86"/>
      <c r="C446" s="86"/>
      <c r="D446" s="86"/>
    </row>
    <row r="447">
      <c r="B447" s="86"/>
      <c r="C447" s="86"/>
      <c r="D447" s="86"/>
    </row>
    <row r="448">
      <c r="B448" s="86"/>
      <c r="C448" s="86"/>
      <c r="D448" s="86"/>
    </row>
    <row r="449">
      <c r="B449" s="86"/>
      <c r="C449" s="86"/>
      <c r="D449" s="86"/>
    </row>
    <row r="450">
      <c r="B450" s="86"/>
      <c r="C450" s="86"/>
      <c r="D450" s="86"/>
    </row>
    <row r="451">
      <c r="B451" s="86"/>
      <c r="C451" s="86"/>
      <c r="D451" s="86"/>
    </row>
    <row r="452">
      <c r="B452" s="86"/>
      <c r="C452" s="86"/>
      <c r="D452" s="86"/>
    </row>
    <row r="453">
      <c r="B453" s="86"/>
      <c r="C453" s="86"/>
      <c r="D453" s="86"/>
    </row>
    <row r="454">
      <c r="B454" s="86"/>
      <c r="C454" s="86"/>
      <c r="D454" s="86"/>
    </row>
    <row r="455">
      <c r="B455" s="86"/>
      <c r="C455" s="86"/>
      <c r="D455" s="86"/>
    </row>
    <row r="456">
      <c r="B456" s="86"/>
      <c r="C456" s="86"/>
      <c r="D456" s="86"/>
    </row>
    <row r="457">
      <c r="B457" s="86"/>
      <c r="C457" s="86"/>
      <c r="D457" s="86"/>
    </row>
    <row r="458">
      <c r="B458" s="86"/>
      <c r="C458" s="86"/>
      <c r="D458" s="86"/>
    </row>
    <row r="459">
      <c r="B459" s="86"/>
      <c r="C459" s="86"/>
      <c r="D459" s="86"/>
    </row>
    <row r="460">
      <c r="B460" s="86"/>
      <c r="C460" s="86"/>
      <c r="D460" s="86"/>
    </row>
    <row r="461">
      <c r="B461" s="86"/>
      <c r="C461" s="86"/>
      <c r="D461" s="86"/>
    </row>
    <row r="462">
      <c r="B462" s="86"/>
      <c r="C462" s="86"/>
      <c r="D462" s="86"/>
    </row>
    <row r="463">
      <c r="B463" s="86"/>
      <c r="C463" s="86"/>
      <c r="D463" s="86"/>
    </row>
    <row r="464">
      <c r="B464" s="86"/>
      <c r="C464" s="86"/>
      <c r="D464" s="86"/>
    </row>
    <row r="465">
      <c r="B465" s="86"/>
      <c r="C465" s="86"/>
      <c r="D465" s="86"/>
    </row>
    <row r="466">
      <c r="B466" s="86"/>
      <c r="C466" s="86"/>
      <c r="D466" s="86"/>
    </row>
    <row r="467">
      <c r="B467" s="86"/>
      <c r="C467" s="86"/>
      <c r="D467" s="86"/>
    </row>
    <row r="468">
      <c r="B468" s="86"/>
      <c r="C468" s="86"/>
      <c r="D468" s="86"/>
    </row>
    <row r="469">
      <c r="B469" s="86"/>
      <c r="C469" s="86"/>
      <c r="D469" s="86"/>
    </row>
    <row r="470">
      <c r="B470" s="86"/>
      <c r="C470" s="86"/>
      <c r="D470" s="86"/>
    </row>
    <row r="471">
      <c r="B471" s="86"/>
      <c r="C471" s="86"/>
      <c r="D471" s="86"/>
    </row>
    <row r="472">
      <c r="B472" s="86"/>
      <c r="C472" s="86"/>
      <c r="D472" s="86"/>
    </row>
    <row r="473">
      <c r="B473" s="86"/>
      <c r="C473" s="86"/>
      <c r="D473" s="86"/>
    </row>
    <row r="474">
      <c r="B474" s="86"/>
      <c r="C474" s="86"/>
      <c r="D474" s="86"/>
    </row>
    <row r="475">
      <c r="B475" s="86"/>
      <c r="C475" s="86"/>
      <c r="D475" s="86"/>
    </row>
    <row r="476">
      <c r="B476" s="86"/>
      <c r="C476" s="86"/>
      <c r="D476" s="86"/>
    </row>
    <row r="477">
      <c r="B477" s="86"/>
      <c r="C477" s="86"/>
      <c r="D477" s="86"/>
    </row>
    <row r="478">
      <c r="B478" s="86"/>
      <c r="C478" s="86"/>
      <c r="D478" s="86"/>
    </row>
    <row r="479">
      <c r="B479" s="86"/>
      <c r="C479" s="86"/>
      <c r="D479" s="86"/>
    </row>
    <row r="480">
      <c r="B480" s="86"/>
      <c r="C480" s="86"/>
      <c r="D480" s="86"/>
    </row>
    <row r="481">
      <c r="B481" s="86"/>
      <c r="C481" s="86"/>
      <c r="D481" s="86"/>
    </row>
    <row r="482">
      <c r="B482" s="86"/>
      <c r="C482" s="86"/>
      <c r="D482" s="86"/>
    </row>
    <row r="483">
      <c r="B483" s="86"/>
      <c r="C483" s="86"/>
      <c r="D483" s="86"/>
    </row>
    <row r="484">
      <c r="B484" s="86"/>
      <c r="C484" s="86"/>
      <c r="D484" s="86"/>
    </row>
    <row r="485">
      <c r="B485" s="86"/>
      <c r="C485" s="86"/>
      <c r="D485" s="86"/>
    </row>
    <row r="486">
      <c r="B486" s="86"/>
      <c r="C486" s="86"/>
      <c r="D486" s="86"/>
    </row>
    <row r="487">
      <c r="B487" s="86"/>
      <c r="C487" s="86"/>
      <c r="D487" s="86"/>
    </row>
    <row r="488">
      <c r="B488" s="86"/>
      <c r="C488" s="86"/>
      <c r="D488" s="86"/>
    </row>
    <row r="489">
      <c r="B489" s="86"/>
      <c r="C489" s="86"/>
      <c r="D489" s="86"/>
    </row>
    <row r="490">
      <c r="B490" s="86"/>
      <c r="C490" s="86"/>
      <c r="D490" s="86"/>
    </row>
    <row r="491">
      <c r="B491" s="86"/>
      <c r="C491" s="86"/>
      <c r="D491" s="86"/>
    </row>
    <row r="492">
      <c r="B492" s="86"/>
      <c r="C492" s="86"/>
      <c r="D492" s="86"/>
    </row>
    <row r="493">
      <c r="B493" s="86"/>
      <c r="C493" s="86"/>
      <c r="D493" s="86"/>
    </row>
    <row r="494">
      <c r="B494" s="86"/>
      <c r="C494" s="86"/>
      <c r="D494" s="86"/>
    </row>
    <row r="495">
      <c r="B495" s="86"/>
      <c r="C495" s="86"/>
      <c r="D495" s="86"/>
    </row>
    <row r="496">
      <c r="B496" s="86"/>
      <c r="C496" s="86"/>
      <c r="D496" s="86"/>
    </row>
    <row r="497">
      <c r="B497" s="86"/>
      <c r="C497" s="86"/>
      <c r="D497" s="86"/>
    </row>
    <row r="498">
      <c r="B498" s="86"/>
      <c r="C498" s="86"/>
      <c r="D498" s="86"/>
    </row>
    <row r="499">
      <c r="B499" s="86"/>
      <c r="C499" s="86"/>
      <c r="D499" s="86"/>
    </row>
    <row r="500">
      <c r="B500" s="86"/>
      <c r="C500" s="86"/>
      <c r="D500" s="86"/>
    </row>
    <row r="501">
      <c r="B501" s="86"/>
      <c r="C501" s="86"/>
      <c r="D501" s="86"/>
    </row>
    <row r="502">
      <c r="B502" s="86"/>
      <c r="C502" s="86"/>
      <c r="D502" s="86"/>
    </row>
    <row r="503">
      <c r="B503" s="86"/>
      <c r="C503" s="86"/>
      <c r="D503" s="86"/>
    </row>
    <row r="504">
      <c r="B504" s="86"/>
      <c r="C504" s="86"/>
      <c r="D504" s="86"/>
    </row>
    <row r="505">
      <c r="B505" s="86"/>
      <c r="C505" s="86"/>
      <c r="D505" s="86"/>
    </row>
    <row r="506">
      <c r="B506" s="86"/>
      <c r="C506" s="86"/>
      <c r="D506" s="86"/>
    </row>
    <row r="507">
      <c r="B507" s="86"/>
      <c r="C507" s="86"/>
      <c r="D507" s="86"/>
    </row>
    <row r="508">
      <c r="B508" s="86"/>
      <c r="C508" s="86"/>
      <c r="D508" s="86"/>
    </row>
    <row r="509">
      <c r="B509" s="86"/>
      <c r="C509" s="86"/>
      <c r="D509" s="86"/>
    </row>
    <row r="510">
      <c r="B510" s="86"/>
      <c r="C510" s="86"/>
      <c r="D510" s="86"/>
    </row>
    <row r="511">
      <c r="B511" s="86"/>
      <c r="C511" s="86"/>
      <c r="D511" s="86"/>
    </row>
    <row r="512">
      <c r="B512" s="86"/>
      <c r="C512" s="86"/>
      <c r="D512" s="86"/>
    </row>
    <row r="513">
      <c r="B513" s="86"/>
      <c r="C513" s="86"/>
      <c r="D513" s="86"/>
    </row>
    <row r="514">
      <c r="B514" s="86"/>
      <c r="C514" s="86"/>
      <c r="D514" s="86"/>
    </row>
    <row r="515">
      <c r="B515" s="86"/>
      <c r="C515" s="86"/>
      <c r="D515" s="86"/>
    </row>
    <row r="516">
      <c r="B516" s="86"/>
      <c r="C516" s="86"/>
      <c r="D516" s="86"/>
    </row>
    <row r="517">
      <c r="B517" s="86"/>
      <c r="C517" s="86"/>
      <c r="D517" s="86"/>
    </row>
    <row r="518">
      <c r="B518" s="86"/>
      <c r="C518" s="86"/>
      <c r="D518" s="86"/>
    </row>
    <row r="519">
      <c r="B519" s="86"/>
      <c r="C519" s="86"/>
      <c r="D519" s="86"/>
    </row>
    <row r="520">
      <c r="B520" s="86"/>
      <c r="C520" s="86"/>
      <c r="D520" s="86"/>
    </row>
    <row r="521">
      <c r="B521" s="86"/>
      <c r="C521" s="86"/>
      <c r="D521" s="86"/>
    </row>
    <row r="522">
      <c r="B522" s="86"/>
      <c r="C522" s="86"/>
      <c r="D522" s="86"/>
    </row>
    <row r="523">
      <c r="B523" s="86"/>
      <c r="C523" s="86"/>
      <c r="D523" s="86"/>
    </row>
    <row r="524">
      <c r="B524" s="86"/>
      <c r="C524" s="86"/>
      <c r="D524" s="86"/>
    </row>
    <row r="525">
      <c r="B525" s="86"/>
      <c r="C525" s="86"/>
      <c r="D525" s="86"/>
    </row>
    <row r="526">
      <c r="B526" s="86"/>
      <c r="C526" s="86"/>
      <c r="D526" s="86"/>
    </row>
    <row r="527">
      <c r="B527" s="86"/>
      <c r="C527" s="86"/>
      <c r="D527" s="86"/>
    </row>
    <row r="528">
      <c r="B528" s="86"/>
      <c r="C528" s="86"/>
      <c r="D528" s="86"/>
    </row>
    <row r="529">
      <c r="B529" s="86"/>
      <c r="C529" s="86"/>
      <c r="D529" s="86"/>
    </row>
    <row r="530">
      <c r="B530" s="86"/>
      <c r="C530" s="86"/>
      <c r="D530" s="86"/>
    </row>
    <row r="531">
      <c r="B531" s="86"/>
      <c r="C531" s="86"/>
      <c r="D531" s="86"/>
    </row>
    <row r="532">
      <c r="B532" s="86"/>
      <c r="C532" s="86"/>
      <c r="D532" s="86"/>
    </row>
    <row r="533">
      <c r="B533" s="86"/>
      <c r="C533" s="86"/>
      <c r="D533" s="86"/>
    </row>
    <row r="534">
      <c r="B534" s="86"/>
      <c r="C534" s="86"/>
      <c r="D534" s="86"/>
    </row>
    <row r="535">
      <c r="B535" s="86"/>
      <c r="C535" s="86"/>
      <c r="D535" s="86"/>
    </row>
    <row r="536">
      <c r="B536" s="86"/>
      <c r="C536" s="86"/>
      <c r="D536" s="86"/>
    </row>
    <row r="537">
      <c r="B537" s="86"/>
      <c r="C537" s="86"/>
      <c r="D537" s="86"/>
    </row>
    <row r="538">
      <c r="B538" s="86"/>
      <c r="C538" s="86"/>
      <c r="D538" s="86"/>
    </row>
    <row r="539">
      <c r="B539" s="86"/>
      <c r="C539" s="86"/>
      <c r="D539" s="86"/>
    </row>
    <row r="540">
      <c r="B540" s="86"/>
      <c r="C540" s="86"/>
      <c r="D540" s="86"/>
    </row>
    <row r="541">
      <c r="B541" s="86"/>
      <c r="C541" s="86"/>
      <c r="D541" s="86"/>
    </row>
    <row r="542">
      <c r="B542" s="86"/>
      <c r="C542" s="86"/>
      <c r="D542" s="86"/>
    </row>
    <row r="543">
      <c r="B543" s="86"/>
      <c r="C543" s="86"/>
      <c r="D543" s="86"/>
    </row>
    <row r="544">
      <c r="B544" s="86"/>
      <c r="C544" s="86"/>
      <c r="D544" s="86"/>
    </row>
    <row r="545">
      <c r="B545" s="86"/>
      <c r="C545" s="86"/>
      <c r="D545" s="86"/>
    </row>
    <row r="546">
      <c r="B546" s="86"/>
      <c r="C546" s="86"/>
      <c r="D546" s="86"/>
    </row>
    <row r="547">
      <c r="B547" s="86"/>
      <c r="C547" s="86"/>
      <c r="D547" s="86"/>
    </row>
    <row r="548">
      <c r="B548" s="86"/>
      <c r="C548" s="86"/>
      <c r="D548" s="86"/>
    </row>
    <row r="549">
      <c r="B549" s="86"/>
      <c r="C549" s="86"/>
      <c r="D549" s="86"/>
    </row>
    <row r="550">
      <c r="B550" s="86"/>
      <c r="C550" s="86"/>
      <c r="D550" s="86"/>
    </row>
    <row r="551">
      <c r="B551" s="86"/>
      <c r="C551" s="86"/>
      <c r="D551" s="86"/>
    </row>
    <row r="552">
      <c r="B552" s="86"/>
      <c r="C552" s="86"/>
      <c r="D552" s="86"/>
    </row>
    <row r="553">
      <c r="B553" s="86"/>
      <c r="C553" s="86"/>
      <c r="D553" s="86"/>
    </row>
    <row r="554">
      <c r="B554" s="86"/>
      <c r="C554" s="86"/>
      <c r="D554" s="86"/>
    </row>
    <row r="555">
      <c r="B555" s="86"/>
      <c r="C555" s="86"/>
      <c r="D555" s="86"/>
    </row>
    <row r="556">
      <c r="B556" s="86"/>
      <c r="C556" s="86"/>
      <c r="D556" s="86"/>
    </row>
    <row r="557">
      <c r="B557" s="86"/>
      <c r="C557" s="86"/>
      <c r="D557" s="86"/>
    </row>
    <row r="558">
      <c r="B558" s="86"/>
      <c r="C558" s="86"/>
      <c r="D558" s="86"/>
    </row>
    <row r="559">
      <c r="B559" s="86"/>
      <c r="C559" s="86"/>
      <c r="D559" s="86"/>
    </row>
    <row r="560">
      <c r="B560" s="86"/>
      <c r="C560" s="86"/>
      <c r="D560" s="86"/>
    </row>
    <row r="561">
      <c r="B561" s="86"/>
      <c r="C561" s="86"/>
      <c r="D561" s="86"/>
    </row>
    <row r="562">
      <c r="B562" s="86"/>
      <c r="C562" s="86"/>
      <c r="D562" s="86"/>
    </row>
    <row r="563">
      <c r="B563" s="86"/>
      <c r="C563" s="86"/>
      <c r="D563" s="86"/>
    </row>
    <row r="564">
      <c r="B564" s="86"/>
      <c r="C564" s="86"/>
      <c r="D564" s="86"/>
    </row>
    <row r="565">
      <c r="B565" s="86"/>
      <c r="C565" s="86"/>
      <c r="D565" s="86"/>
    </row>
    <row r="566">
      <c r="B566" s="86"/>
      <c r="C566" s="86"/>
      <c r="D566" s="86"/>
    </row>
    <row r="567">
      <c r="B567" s="86"/>
      <c r="C567" s="86"/>
      <c r="D567" s="86"/>
    </row>
    <row r="568">
      <c r="B568" s="86"/>
      <c r="C568" s="86"/>
      <c r="D568" s="86"/>
    </row>
    <row r="569">
      <c r="B569" s="86"/>
      <c r="C569" s="86"/>
      <c r="D569" s="86"/>
    </row>
    <row r="570">
      <c r="B570" s="86"/>
      <c r="C570" s="86"/>
      <c r="D570" s="86"/>
    </row>
    <row r="571">
      <c r="B571" s="86"/>
      <c r="C571" s="86"/>
      <c r="D571" s="86"/>
    </row>
    <row r="572">
      <c r="B572" s="86"/>
      <c r="C572" s="86"/>
      <c r="D572" s="86"/>
    </row>
    <row r="573">
      <c r="B573" s="86"/>
      <c r="C573" s="86"/>
      <c r="D573" s="86"/>
    </row>
    <row r="574">
      <c r="B574" s="86"/>
      <c r="C574" s="86"/>
      <c r="D574" s="86"/>
    </row>
    <row r="575">
      <c r="B575" s="86"/>
      <c r="C575" s="86"/>
      <c r="D575" s="86"/>
    </row>
    <row r="576">
      <c r="B576" s="86"/>
      <c r="C576" s="86"/>
      <c r="D576" s="86"/>
    </row>
    <row r="577">
      <c r="B577" s="86"/>
      <c r="C577" s="86"/>
      <c r="D577" s="86"/>
    </row>
    <row r="578">
      <c r="B578" s="86"/>
      <c r="C578" s="86"/>
      <c r="D578" s="86"/>
    </row>
    <row r="579">
      <c r="B579" s="86"/>
      <c r="C579" s="86"/>
      <c r="D579" s="86"/>
    </row>
    <row r="580">
      <c r="B580" s="86"/>
      <c r="C580" s="86"/>
      <c r="D580" s="86"/>
    </row>
    <row r="581">
      <c r="B581" s="86"/>
      <c r="C581" s="86"/>
      <c r="D581" s="86"/>
    </row>
    <row r="582">
      <c r="B582" s="86"/>
      <c r="C582" s="86"/>
      <c r="D582" s="86"/>
    </row>
    <row r="583">
      <c r="B583" s="86"/>
      <c r="C583" s="86"/>
      <c r="D583" s="86"/>
    </row>
    <row r="584">
      <c r="B584" s="86"/>
      <c r="C584" s="86"/>
      <c r="D584" s="86"/>
    </row>
    <row r="585">
      <c r="B585" s="86"/>
      <c r="C585" s="86"/>
      <c r="D585" s="86"/>
    </row>
    <row r="586">
      <c r="B586" s="86"/>
      <c r="C586" s="86"/>
      <c r="D586" s="86"/>
    </row>
    <row r="587">
      <c r="B587" s="86"/>
      <c r="C587" s="86"/>
      <c r="D587" s="86"/>
    </row>
    <row r="588">
      <c r="B588" s="86"/>
      <c r="C588" s="86"/>
      <c r="D588" s="86"/>
    </row>
    <row r="589">
      <c r="B589" s="86"/>
      <c r="C589" s="86"/>
      <c r="D589" s="86"/>
    </row>
    <row r="590">
      <c r="B590" s="86"/>
      <c r="C590" s="86"/>
      <c r="D590" s="86"/>
    </row>
    <row r="591">
      <c r="B591" s="86"/>
      <c r="C591" s="86"/>
      <c r="D591" s="86"/>
    </row>
    <row r="592">
      <c r="B592" s="86"/>
      <c r="C592" s="86"/>
      <c r="D592" s="86"/>
    </row>
    <row r="593">
      <c r="B593" s="86"/>
      <c r="C593" s="86"/>
      <c r="D593" s="86"/>
    </row>
    <row r="594">
      <c r="B594" s="86"/>
      <c r="C594" s="86"/>
      <c r="D594" s="86"/>
    </row>
    <row r="595">
      <c r="B595" s="86"/>
      <c r="C595" s="86"/>
      <c r="D595" s="86"/>
    </row>
    <row r="596">
      <c r="B596" s="86"/>
      <c r="C596" s="86"/>
      <c r="D596" s="86"/>
    </row>
    <row r="597">
      <c r="B597" s="86"/>
      <c r="C597" s="86"/>
      <c r="D597" s="86"/>
    </row>
    <row r="598">
      <c r="B598" s="86"/>
      <c r="C598" s="86"/>
      <c r="D598" s="86"/>
    </row>
    <row r="599">
      <c r="B599" s="86"/>
      <c r="C599" s="86"/>
      <c r="D599" s="86"/>
    </row>
    <row r="600">
      <c r="B600" s="86"/>
      <c r="C600" s="86"/>
      <c r="D600" s="86"/>
    </row>
    <row r="601">
      <c r="B601" s="86"/>
      <c r="C601" s="86"/>
      <c r="D601" s="86"/>
    </row>
    <row r="602">
      <c r="B602" s="86"/>
      <c r="C602" s="86"/>
      <c r="D602" s="86"/>
    </row>
    <row r="603">
      <c r="B603" s="86"/>
      <c r="C603" s="86"/>
      <c r="D603" s="86"/>
    </row>
    <row r="604">
      <c r="B604" s="86"/>
      <c r="C604" s="86"/>
      <c r="D604" s="86"/>
    </row>
    <row r="605">
      <c r="B605" s="86"/>
      <c r="C605" s="86"/>
      <c r="D605" s="86"/>
    </row>
    <row r="606">
      <c r="B606" s="86"/>
      <c r="C606" s="86"/>
      <c r="D606" s="86"/>
    </row>
    <row r="607">
      <c r="B607" s="86"/>
      <c r="C607" s="86"/>
      <c r="D607" s="86"/>
    </row>
    <row r="608">
      <c r="B608" s="86"/>
      <c r="C608" s="86"/>
      <c r="D608" s="86"/>
    </row>
    <row r="609">
      <c r="B609" s="86"/>
      <c r="C609" s="86"/>
      <c r="D609" s="86"/>
    </row>
    <row r="610">
      <c r="B610" s="86"/>
      <c r="C610" s="86"/>
      <c r="D610" s="86"/>
    </row>
    <row r="611">
      <c r="B611" s="86"/>
      <c r="C611" s="86"/>
      <c r="D611" s="86"/>
    </row>
    <row r="612">
      <c r="B612" s="86"/>
      <c r="C612" s="86"/>
      <c r="D612" s="86"/>
    </row>
    <row r="613">
      <c r="B613" s="86"/>
      <c r="C613" s="86"/>
      <c r="D613" s="86"/>
    </row>
    <row r="614">
      <c r="B614" s="86"/>
      <c r="C614" s="86"/>
      <c r="D614" s="86"/>
    </row>
    <row r="615">
      <c r="B615" s="86"/>
      <c r="C615" s="86"/>
      <c r="D615" s="86"/>
    </row>
    <row r="616">
      <c r="B616" s="86"/>
      <c r="C616" s="86"/>
      <c r="D616" s="86"/>
    </row>
    <row r="617">
      <c r="B617" s="86"/>
      <c r="C617" s="86"/>
      <c r="D617" s="86"/>
    </row>
    <row r="618">
      <c r="B618" s="86"/>
      <c r="C618" s="86"/>
      <c r="D618" s="86"/>
    </row>
    <row r="619">
      <c r="B619" s="86"/>
      <c r="C619" s="86"/>
      <c r="D619" s="86"/>
    </row>
    <row r="620">
      <c r="B620" s="86"/>
      <c r="C620" s="86"/>
      <c r="D620" s="86"/>
    </row>
    <row r="621">
      <c r="B621" s="86"/>
      <c r="C621" s="86"/>
      <c r="D621" s="86"/>
    </row>
    <row r="622">
      <c r="B622" s="86"/>
      <c r="C622" s="86"/>
      <c r="D622" s="86"/>
    </row>
    <row r="623">
      <c r="B623" s="86"/>
      <c r="C623" s="86"/>
      <c r="D623" s="86"/>
    </row>
    <row r="624">
      <c r="B624" s="86"/>
      <c r="C624" s="86"/>
      <c r="D624" s="86"/>
    </row>
    <row r="625">
      <c r="B625" s="86"/>
      <c r="C625" s="86"/>
      <c r="D625" s="86"/>
    </row>
    <row r="626">
      <c r="B626" s="86"/>
      <c r="C626" s="86"/>
      <c r="D626" s="86"/>
    </row>
    <row r="627">
      <c r="B627" s="86"/>
      <c r="C627" s="86"/>
      <c r="D627" s="86"/>
    </row>
    <row r="628">
      <c r="B628" s="86"/>
      <c r="C628" s="86"/>
      <c r="D628" s="86"/>
    </row>
    <row r="629">
      <c r="B629" s="86"/>
      <c r="C629" s="86"/>
      <c r="D629" s="86"/>
    </row>
    <row r="630">
      <c r="B630" s="86"/>
      <c r="C630" s="86"/>
      <c r="D630" s="86"/>
    </row>
    <row r="631">
      <c r="B631" s="86"/>
      <c r="C631" s="86"/>
      <c r="D631" s="86"/>
    </row>
    <row r="632">
      <c r="B632" s="86"/>
      <c r="C632" s="86"/>
      <c r="D632" s="86"/>
    </row>
    <row r="633">
      <c r="B633" s="86"/>
      <c r="C633" s="86"/>
      <c r="D633" s="86"/>
    </row>
    <row r="634">
      <c r="B634" s="86"/>
      <c r="C634" s="86"/>
      <c r="D634" s="86"/>
    </row>
    <row r="635">
      <c r="B635" s="86"/>
      <c r="C635" s="86"/>
      <c r="D635" s="86"/>
    </row>
    <row r="636">
      <c r="B636" s="86"/>
      <c r="C636" s="86"/>
      <c r="D636" s="86"/>
    </row>
    <row r="637">
      <c r="B637" s="86"/>
      <c r="C637" s="86"/>
      <c r="D637" s="86"/>
    </row>
    <row r="638">
      <c r="B638" s="86"/>
      <c r="C638" s="86"/>
      <c r="D638" s="86"/>
    </row>
    <row r="639">
      <c r="B639" s="86"/>
      <c r="C639" s="86"/>
      <c r="D639" s="86"/>
    </row>
    <row r="640">
      <c r="B640" s="86"/>
      <c r="C640" s="86"/>
      <c r="D640" s="86"/>
    </row>
    <row r="641">
      <c r="B641" s="86"/>
      <c r="C641" s="86"/>
      <c r="D641" s="86"/>
    </row>
    <row r="642">
      <c r="B642" s="86"/>
      <c r="C642" s="86"/>
      <c r="D642" s="86"/>
    </row>
    <row r="643">
      <c r="B643" s="86"/>
      <c r="C643" s="86"/>
      <c r="D643" s="86"/>
    </row>
    <row r="644">
      <c r="B644" s="86"/>
      <c r="C644" s="86"/>
      <c r="D644" s="86"/>
    </row>
    <row r="645">
      <c r="B645" s="86"/>
      <c r="C645" s="86"/>
      <c r="D645" s="86"/>
    </row>
    <row r="646">
      <c r="B646" s="86"/>
      <c r="C646" s="86"/>
      <c r="D646" s="86"/>
    </row>
    <row r="647">
      <c r="B647" s="86"/>
      <c r="C647" s="86"/>
      <c r="D647" s="86"/>
    </row>
    <row r="648">
      <c r="B648" s="86"/>
      <c r="C648" s="86"/>
      <c r="D648" s="86"/>
    </row>
    <row r="649">
      <c r="B649" s="86"/>
      <c r="C649" s="86"/>
      <c r="D649" s="86"/>
    </row>
    <row r="650">
      <c r="B650" s="86"/>
      <c r="C650" s="86"/>
      <c r="D650" s="86"/>
    </row>
    <row r="651">
      <c r="B651" s="86"/>
      <c r="C651" s="86"/>
      <c r="D651" s="86"/>
    </row>
    <row r="652">
      <c r="B652" s="86"/>
      <c r="C652" s="86"/>
      <c r="D652" s="86"/>
    </row>
    <row r="653">
      <c r="B653" s="86"/>
      <c r="C653" s="86"/>
      <c r="D653" s="86"/>
    </row>
    <row r="654">
      <c r="B654" s="86"/>
      <c r="C654" s="86"/>
      <c r="D654" s="86"/>
    </row>
    <row r="655">
      <c r="B655" s="86"/>
      <c r="C655" s="86"/>
      <c r="D655" s="86"/>
    </row>
    <row r="656">
      <c r="B656" s="86"/>
      <c r="C656" s="86"/>
      <c r="D656" s="86"/>
    </row>
    <row r="657">
      <c r="B657" s="86"/>
      <c r="C657" s="86"/>
      <c r="D657" s="86"/>
    </row>
    <row r="658">
      <c r="B658" s="86"/>
      <c r="C658" s="86"/>
      <c r="D658" s="86"/>
    </row>
    <row r="659">
      <c r="B659" s="86"/>
      <c r="C659" s="86"/>
      <c r="D659" s="86"/>
    </row>
    <row r="660">
      <c r="B660" s="86"/>
      <c r="C660" s="86"/>
      <c r="D660" s="86"/>
    </row>
    <row r="661">
      <c r="B661" s="86"/>
      <c r="C661" s="86"/>
      <c r="D661" s="86"/>
    </row>
    <row r="662">
      <c r="B662" s="86"/>
      <c r="C662" s="86"/>
      <c r="D662" s="86"/>
    </row>
    <row r="663">
      <c r="B663" s="86"/>
      <c r="C663" s="86"/>
      <c r="D663" s="86"/>
    </row>
    <row r="664">
      <c r="B664" s="86"/>
      <c r="C664" s="86"/>
      <c r="D664" s="86"/>
    </row>
    <row r="665">
      <c r="B665" s="86"/>
      <c r="C665" s="86"/>
      <c r="D665" s="86"/>
    </row>
    <row r="666">
      <c r="B666" s="86"/>
      <c r="C666" s="86"/>
      <c r="D666" s="86"/>
    </row>
    <row r="667">
      <c r="B667" s="86"/>
      <c r="C667" s="86"/>
      <c r="D667" s="86"/>
    </row>
    <row r="668">
      <c r="B668" s="86"/>
      <c r="C668" s="86"/>
      <c r="D668" s="86"/>
    </row>
    <row r="669">
      <c r="B669" s="86"/>
      <c r="C669" s="86"/>
      <c r="D669" s="86"/>
    </row>
    <row r="670">
      <c r="B670" s="86"/>
      <c r="C670" s="86"/>
      <c r="D670" s="86"/>
    </row>
    <row r="671">
      <c r="B671" s="86"/>
      <c r="C671" s="86"/>
      <c r="D671" s="86"/>
    </row>
    <row r="672">
      <c r="B672" s="86"/>
      <c r="C672" s="86"/>
      <c r="D672" s="86"/>
    </row>
    <row r="673">
      <c r="B673" s="86"/>
      <c r="C673" s="86"/>
      <c r="D673" s="86"/>
    </row>
    <row r="674">
      <c r="B674" s="86"/>
      <c r="C674" s="86"/>
      <c r="D674" s="86"/>
    </row>
    <row r="675">
      <c r="B675" s="86"/>
      <c r="C675" s="86"/>
      <c r="D675" s="86"/>
    </row>
    <row r="676">
      <c r="B676" s="86"/>
      <c r="C676" s="86"/>
      <c r="D676" s="86"/>
    </row>
    <row r="677">
      <c r="B677" s="86"/>
      <c r="C677" s="86"/>
      <c r="D677" s="86"/>
    </row>
    <row r="678">
      <c r="B678" s="86"/>
      <c r="C678" s="86"/>
      <c r="D678" s="86"/>
    </row>
    <row r="679">
      <c r="B679" s="86"/>
      <c r="C679" s="86"/>
      <c r="D679" s="86"/>
    </row>
    <row r="680">
      <c r="B680" s="86"/>
      <c r="C680" s="86"/>
      <c r="D680" s="86"/>
    </row>
    <row r="681">
      <c r="B681" s="86"/>
      <c r="C681" s="86"/>
      <c r="D681" s="86"/>
    </row>
    <row r="682">
      <c r="B682" s="86"/>
      <c r="C682" s="86"/>
      <c r="D682" s="86"/>
    </row>
    <row r="683">
      <c r="B683" s="86"/>
      <c r="C683" s="86"/>
      <c r="D683" s="86"/>
    </row>
    <row r="684">
      <c r="B684" s="86"/>
      <c r="C684" s="86"/>
      <c r="D684" s="86"/>
    </row>
    <row r="685">
      <c r="B685" s="86"/>
      <c r="C685" s="86"/>
      <c r="D685" s="86"/>
    </row>
    <row r="686">
      <c r="B686" s="86"/>
      <c r="C686" s="86"/>
      <c r="D686" s="86"/>
    </row>
    <row r="687">
      <c r="B687" s="86"/>
      <c r="C687" s="86"/>
      <c r="D687" s="86"/>
    </row>
    <row r="688">
      <c r="B688" s="86"/>
      <c r="C688" s="86"/>
      <c r="D688" s="86"/>
    </row>
    <row r="689">
      <c r="B689" s="86"/>
      <c r="C689" s="86"/>
      <c r="D689" s="86"/>
    </row>
    <row r="690">
      <c r="B690" s="86"/>
      <c r="C690" s="86"/>
      <c r="D690" s="86"/>
    </row>
    <row r="691">
      <c r="B691" s="86"/>
      <c r="C691" s="86"/>
      <c r="D691" s="86"/>
    </row>
    <row r="692">
      <c r="B692" s="86"/>
      <c r="C692" s="86"/>
      <c r="D692" s="86"/>
    </row>
    <row r="693">
      <c r="B693" s="86"/>
      <c r="C693" s="86"/>
      <c r="D693" s="86"/>
    </row>
    <row r="694">
      <c r="B694" s="86"/>
      <c r="C694" s="86"/>
      <c r="D694" s="86"/>
    </row>
    <row r="695">
      <c r="B695" s="86"/>
      <c r="C695" s="86"/>
      <c r="D695" s="86"/>
    </row>
    <row r="696">
      <c r="B696" s="86"/>
      <c r="C696" s="86"/>
      <c r="D696" s="86"/>
    </row>
    <row r="697">
      <c r="B697" s="86"/>
      <c r="C697" s="86"/>
      <c r="D697" s="86"/>
    </row>
    <row r="698">
      <c r="B698" s="86"/>
      <c r="C698" s="86"/>
      <c r="D698" s="86"/>
    </row>
    <row r="699">
      <c r="B699" s="86"/>
      <c r="C699" s="86"/>
      <c r="D699" s="86"/>
    </row>
    <row r="700">
      <c r="B700" s="86"/>
      <c r="C700" s="86"/>
      <c r="D700" s="86"/>
    </row>
    <row r="701">
      <c r="B701" s="86"/>
      <c r="C701" s="86"/>
      <c r="D701" s="86"/>
    </row>
    <row r="702">
      <c r="B702" s="86"/>
      <c r="C702" s="86"/>
      <c r="D702" s="86"/>
    </row>
    <row r="703">
      <c r="B703" s="86"/>
      <c r="C703" s="86"/>
      <c r="D703" s="86"/>
    </row>
    <row r="704">
      <c r="B704" s="86"/>
      <c r="C704" s="86"/>
      <c r="D704" s="86"/>
    </row>
    <row r="705">
      <c r="B705" s="86"/>
      <c r="C705" s="86"/>
      <c r="D705" s="86"/>
    </row>
    <row r="706">
      <c r="B706" s="86"/>
      <c r="C706" s="86"/>
      <c r="D706" s="86"/>
    </row>
    <row r="707">
      <c r="B707" s="86"/>
      <c r="C707" s="86"/>
      <c r="D707" s="86"/>
    </row>
    <row r="708">
      <c r="B708" s="86"/>
      <c r="C708" s="86"/>
      <c r="D708" s="86"/>
    </row>
    <row r="709">
      <c r="B709" s="86"/>
      <c r="C709" s="86"/>
      <c r="D709" s="86"/>
    </row>
    <row r="710">
      <c r="B710" s="86"/>
      <c r="C710" s="86"/>
      <c r="D710" s="86"/>
    </row>
    <row r="711">
      <c r="B711" s="86"/>
      <c r="C711" s="86"/>
      <c r="D711" s="86"/>
    </row>
    <row r="712">
      <c r="B712" s="86"/>
      <c r="C712" s="86"/>
      <c r="D712" s="86"/>
    </row>
    <row r="713">
      <c r="B713" s="86"/>
      <c r="C713" s="86"/>
      <c r="D713" s="86"/>
    </row>
    <row r="714">
      <c r="B714" s="86"/>
      <c r="C714" s="86"/>
      <c r="D714" s="86"/>
    </row>
    <row r="715">
      <c r="B715" s="86"/>
      <c r="C715" s="86"/>
      <c r="D715" s="86"/>
    </row>
    <row r="716">
      <c r="B716" s="86"/>
      <c r="C716" s="86"/>
      <c r="D716" s="86"/>
    </row>
    <row r="717">
      <c r="B717" s="86"/>
      <c r="C717" s="86"/>
      <c r="D717" s="86"/>
    </row>
    <row r="718">
      <c r="B718" s="86"/>
      <c r="C718" s="86"/>
      <c r="D718" s="86"/>
    </row>
    <row r="719">
      <c r="B719" s="86"/>
      <c r="C719" s="86"/>
      <c r="D719" s="86"/>
    </row>
    <row r="720">
      <c r="B720" s="86"/>
      <c r="C720" s="86"/>
      <c r="D720" s="86"/>
    </row>
    <row r="721">
      <c r="B721" s="86"/>
      <c r="C721" s="86"/>
      <c r="D721" s="86"/>
    </row>
    <row r="722">
      <c r="B722" s="86"/>
      <c r="C722" s="86"/>
      <c r="D722" s="86"/>
    </row>
    <row r="723">
      <c r="B723" s="86"/>
      <c r="C723" s="86"/>
      <c r="D723" s="86"/>
    </row>
    <row r="724">
      <c r="B724" s="86"/>
      <c r="C724" s="86"/>
      <c r="D724" s="86"/>
    </row>
    <row r="725">
      <c r="B725" s="86"/>
      <c r="C725" s="86"/>
      <c r="D725" s="86"/>
    </row>
    <row r="726">
      <c r="B726" s="86"/>
      <c r="C726" s="86"/>
      <c r="D726" s="86"/>
    </row>
    <row r="727">
      <c r="B727" s="86"/>
      <c r="C727" s="86"/>
      <c r="D727" s="86"/>
    </row>
    <row r="728">
      <c r="B728" s="86"/>
      <c r="C728" s="86"/>
      <c r="D728" s="86"/>
    </row>
    <row r="729">
      <c r="B729" s="86"/>
      <c r="C729" s="86"/>
      <c r="D729" s="86"/>
    </row>
    <row r="730">
      <c r="B730" s="86"/>
      <c r="C730" s="86"/>
      <c r="D730" s="86"/>
    </row>
    <row r="731">
      <c r="B731" s="86"/>
      <c r="C731" s="86"/>
      <c r="D731" s="86"/>
    </row>
    <row r="732">
      <c r="B732" s="86"/>
      <c r="C732" s="86"/>
      <c r="D732" s="86"/>
    </row>
    <row r="733">
      <c r="B733" s="86"/>
      <c r="C733" s="86"/>
      <c r="D733" s="86"/>
    </row>
    <row r="734">
      <c r="B734" s="86"/>
      <c r="C734" s="86"/>
      <c r="D734" s="86"/>
    </row>
    <row r="735">
      <c r="B735" s="86"/>
      <c r="C735" s="86"/>
      <c r="D735" s="86"/>
    </row>
    <row r="736">
      <c r="B736" s="86"/>
      <c r="C736" s="86"/>
      <c r="D736" s="86"/>
    </row>
    <row r="737">
      <c r="B737" s="86"/>
      <c r="C737" s="86"/>
      <c r="D737" s="86"/>
    </row>
    <row r="738">
      <c r="B738" s="86"/>
      <c r="C738" s="86"/>
      <c r="D738" s="86"/>
    </row>
    <row r="739">
      <c r="B739" s="86"/>
      <c r="C739" s="86"/>
      <c r="D739" s="86"/>
    </row>
    <row r="740">
      <c r="B740" s="86"/>
      <c r="C740" s="86"/>
      <c r="D740" s="86"/>
    </row>
    <row r="741">
      <c r="B741" s="86"/>
      <c r="C741" s="86"/>
      <c r="D741" s="86"/>
    </row>
    <row r="742">
      <c r="B742" s="86"/>
      <c r="C742" s="86"/>
      <c r="D742" s="86"/>
    </row>
    <row r="743">
      <c r="B743" s="86"/>
      <c r="C743" s="86"/>
      <c r="D743" s="86"/>
    </row>
    <row r="744">
      <c r="B744" s="86"/>
      <c r="C744" s="86"/>
      <c r="D744" s="86"/>
    </row>
    <row r="745">
      <c r="B745" s="86"/>
      <c r="C745" s="86"/>
      <c r="D745" s="86"/>
    </row>
    <row r="746">
      <c r="B746" s="86"/>
      <c r="C746" s="86"/>
      <c r="D746" s="86"/>
    </row>
    <row r="747">
      <c r="B747" s="86"/>
      <c r="C747" s="86"/>
      <c r="D747" s="86"/>
    </row>
    <row r="748">
      <c r="B748" s="86"/>
      <c r="C748" s="86"/>
      <c r="D748" s="86"/>
    </row>
    <row r="749">
      <c r="B749" s="86"/>
      <c r="C749" s="86"/>
      <c r="D749" s="86"/>
    </row>
    <row r="750">
      <c r="B750" s="86"/>
      <c r="C750" s="86"/>
      <c r="D750" s="86"/>
    </row>
    <row r="751">
      <c r="B751" s="86"/>
      <c r="C751" s="86"/>
      <c r="D751" s="86"/>
    </row>
    <row r="752">
      <c r="B752" s="86"/>
      <c r="C752" s="86"/>
      <c r="D752" s="86"/>
    </row>
    <row r="753">
      <c r="B753" s="86"/>
      <c r="C753" s="86"/>
      <c r="D753" s="86"/>
    </row>
    <row r="754">
      <c r="B754" s="86"/>
      <c r="C754" s="86"/>
      <c r="D754" s="86"/>
    </row>
    <row r="755">
      <c r="B755" s="86"/>
      <c r="C755" s="86"/>
      <c r="D755" s="86"/>
    </row>
    <row r="756">
      <c r="B756" s="86"/>
      <c r="C756" s="86"/>
      <c r="D756" s="86"/>
    </row>
    <row r="757">
      <c r="B757" s="86"/>
      <c r="C757" s="86"/>
      <c r="D757" s="86"/>
    </row>
    <row r="758">
      <c r="B758" s="86"/>
      <c r="C758" s="86"/>
      <c r="D758" s="86"/>
    </row>
    <row r="759">
      <c r="B759" s="86"/>
      <c r="C759" s="86"/>
      <c r="D759" s="86"/>
    </row>
    <row r="760">
      <c r="B760" s="86"/>
      <c r="C760" s="86"/>
      <c r="D760" s="86"/>
    </row>
    <row r="761">
      <c r="B761" s="86"/>
      <c r="C761" s="86"/>
      <c r="D761" s="86"/>
    </row>
    <row r="762">
      <c r="B762" s="86"/>
      <c r="C762" s="86"/>
      <c r="D762" s="86"/>
    </row>
    <row r="763">
      <c r="B763" s="86"/>
      <c r="C763" s="86"/>
      <c r="D763" s="86"/>
    </row>
    <row r="764">
      <c r="B764" s="86"/>
      <c r="C764" s="86"/>
      <c r="D764" s="86"/>
    </row>
    <row r="765">
      <c r="B765" s="86"/>
      <c r="C765" s="86"/>
      <c r="D765" s="86"/>
    </row>
    <row r="766">
      <c r="B766" s="86"/>
      <c r="C766" s="86"/>
      <c r="D766" s="86"/>
    </row>
    <row r="767">
      <c r="B767" s="86"/>
      <c r="C767" s="86"/>
      <c r="D767" s="86"/>
    </row>
    <row r="768">
      <c r="B768" s="86"/>
      <c r="C768" s="86"/>
      <c r="D768" s="86"/>
    </row>
    <row r="769">
      <c r="B769" s="86"/>
      <c r="C769" s="86"/>
      <c r="D769" s="86"/>
    </row>
    <row r="770">
      <c r="B770" s="86"/>
      <c r="C770" s="86"/>
      <c r="D770" s="86"/>
    </row>
    <row r="771">
      <c r="B771" s="86"/>
      <c r="C771" s="86"/>
      <c r="D771" s="86"/>
    </row>
    <row r="772">
      <c r="B772" s="86"/>
      <c r="C772" s="86"/>
      <c r="D772" s="86"/>
    </row>
    <row r="773">
      <c r="B773" s="86"/>
      <c r="C773" s="86"/>
      <c r="D773" s="86"/>
    </row>
    <row r="774">
      <c r="B774" s="86"/>
      <c r="C774" s="86"/>
      <c r="D774" s="86"/>
    </row>
    <row r="775">
      <c r="B775" s="86"/>
      <c r="C775" s="86"/>
      <c r="D775" s="86"/>
    </row>
    <row r="776">
      <c r="B776" s="86"/>
      <c r="C776" s="86"/>
      <c r="D776" s="86"/>
    </row>
    <row r="777">
      <c r="B777" s="86"/>
      <c r="C777" s="86"/>
      <c r="D777" s="86"/>
    </row>
    <row r="778">
      <c r="B778" s="86"/>
      <c r="C778" s="86"/>
      <c r="D778" s="86"/>
    </row>
    <row r="779">
      <c r="B779" s="86"/>
      <c r="C779" s="86"/>
      <c r="D779" s="86"/>
    </row>
    <row r="780">
      <c r="B780" s="86"/>
      <c r="C780" s="86"/>
      <c r="D780" s="86"/>
    </row>
    <row r="781">
      <c r="B781" s="86"/>
      <c r="C781" s="86"/>
      <c r="D781" s="86"/>
    </row>
    <row r="782">
      <c r="B782" s="86"/>
      <c r="C782" s="86"/>
      <c r="D782" s="86"/>
    </row>
    <row r="783">
      <c r="B783" s="86"/>
      <c r="C783" s="86"/>
      <c r="D783" s="86"/>
    </row>
    <row r="784">
      <c r="B784" s="86"/>
      <c r="C784" s="86"/>
      <c r="D784" s="86"/>
    </row>
    <row r="785">
      <c r="B785" s="86"/>
      <c r="C785" s="86"/>
      <c r="D785" s="86"/>
    </row>
    <row r="786">
      <c r="B786" s="86"/>
      <c r="C786" s="86"/>
      <c r="D786" s="86"/>
    </row>
    <row r="787">
      <c r="B787" s="86"/>
      <c r="C787" s="86"/>
      <c r="D787" s="86"/>
    </row>
    <row r="788">
      <c r="B788" s="86"/>
      <c r="C788" s="86"/>
      <c r="D788" s="86"/>
    </row>
    <row r="789">
      <c r="B789" s="86"/>
      <c r="C789" s="86"/>
      <c r="D789" s="86"/>
    </row>
    <row r="790">
      <c r="B790" s="86"/>
      <c r="C790" s="86"/>
      <c r="D790" s="86"/>
    </row>
    <row r="791">
      <c r="B791" s="86"/>
      <c r="C791" s="86"/>
      <c r="D791" s="86"/>
    </row>
    <row r="792">
      <c r="B792" s="86"/>
      <c r="C792" s="86"/>
      <c r="D792" s="86"/>
    </row>
    <row r="793">
      <c r="B793" s="86"/>
      <c r="C793" s="86"/>
      <c r="D793" s="86"/>
    </row>
    <row r="794">
      <c r="B794" s="86"/>
      <c r="C794" s="86"/>
      <c r="D794" s="86"/>
    </row>
    <row r="795">
      <c r="B795" s="86"/>
      <c r="C795" s="86"/>
      <c r="D795" s="86"/>
    </row>
    <row r="796">
      <c r="B796" s="86"/>
      <c r="C796" s="86"/>
      <c r="D796" s="86"/>
    </row>
    <row r="797">
      <c r="B797" s="86"/>
      <c r="C797" s="86"/>
      <c r="D797" s="86"/>
    </row>
    <row r="798">
      <c r="B798" s="86"/>
      <c r="C798" s="86"/>
      <c r="D798" s="86"/>
    </row>
    <row r="799">
      <c r="B799" s="86"/>
      <c r="C799" s="86"/>
      <c r="D799" s="86"/>
    </row>
    <row r="800">
      <c r="B800" s="86"/>
      <c r="C800" s="86"/>
      <c r="D800" s="86"/>
    </row>
    <row r="801">
      <c r="B801" s="86"/>
      <c r="C801" s="86"/>
      <c r="D801" s="86"/>
    </row>
    <row r="802">
      <c r="B802" s="86"/>
      <c r="C802" s="86"/>
      <c r="D802" s="86"/>
    </row>
    <row r="803">
      <c r="B803" s="86"/>
      <c r="C803" s="86"/>
      <c r="D803" s="86"/>
    </row>
    <row r="804">
      <c r="B804" s="86"/>
      <c r="C804" s="86"/>
      <c r="D804" s="86"/>
    </row>
    <row r="805">
      <c r="B805" s="86"/>
      <c r="C805" s="86"/>
      <c r="D805" s="86"/>
    </row>
    <row r="806">
      <c r="B806" s="86"/>
      <c r="C806" s="86"/>
      <c r="D806" s="86"/>
    </row>
    <row r="807">
      <c r="B807" s="86"/>
      <c r="C807" s="86"/>
      <c r="D807" s="86"/>
    </row>
    <row r="808">
      <c r="B808" s="86"/>
      <c r="C808" s="86"/>
      <c r="D808" s="86"/>
    </row>
    <row r="809">
      <c r="B809" s="86"/>
      <c r="C809" s="86"/>
      <c r="D809" s="86"/>
    </row>
    <row r="810">
      <c r="B810" s="86"/>
      <c r="C810" s="86"/>
      <c r="D810" s="86"/>
    </row>
    <row r="811">
      <c r="B811" s="86"/>
      <c r="C811" s="86"/>
      <c r="D811" s="86"/>
    </row>
    <row r="812">
      <c r="B812" s="86"/>
      <c r="C812" s="86"/>
      <c r="D812" s="86"/>
    </row>
    <row r="813">
      <c r="B813" s="86"/>
      <c r="C813" s="86"/>
      <c r="D813" s="86"/>
    </row>
    <row r="814">
      <c r="B814" s="86"/>
      <c r="C814" s="86"/>
      <c r="D814" s="86"/>
    </row>
    <row r="815">
      <c r="B815" s="86"/>
      <c r="C815" s="86"/>
      <c r="D815" s="86"/>
    </row>
    <row r="816">
      <c r="B816" s="86"/>
      <c r="C816" s="86"/>
      <c r="D816" s="86"/>
    </row>
    <row r="817">
      <c r="B817" s="86"/>
      <c r="C817" s="86"/>
      <c r="D817" s="86"/>
    </row>
    <row r="818">
      <c r="B818" s="86"/>
      <c r="C818" s="86"/>
      <c r="D818" s="86"/>
    </row>
    <row r="819">
      <c r="B819" s="86"/>
      <c r="C819" s="86"/>
      <c r="D819" s="86"/>
    </row>
    <row r="820">
      <c r="B820" s="86"/>
      <c r="C820" s="86"/>
      <c r="D820" s="86"/>
    </row>
    <row r="821">
      <c r="B821" s="86"/>
      <c r="C821" s="86"/>
      <c r="D821" s="86"/>
    </row>
    <row r="822">
      <c r="B822" s="86"/>
      <c r="C822" s="86"/>
      <c r="D822" s="86"/>
    </row>
    <row r="823">
      <c r="B823" s="86"/>
      <c r="C823" s="86"/>
      <c r="D823" s="86"/>
    </row>
    <row r="824">
      <c r="B824" s="86"/>
      <c r="C824" s="86"/>
      <c r="D824" s="86"/>
    </row>
    <row r="825">
      <c r="B825" s="86"/>
      <c r="C825" s="86"/>
      <c r="D825" s="86"/>
    </row>
    <row r="826">
      <c r="B826" s="86"/>
      <c r="C826" s="86"/>
      <c r="D826" s="86"/>
    </row>
    <row r="827">
      <c r="B827" s="86"/>
      <c r="C827" s="86"/>
      <c r="D827" s="86"/>
    </row>
    <row r="828">
      <c r="B828" s="86"/>
      <c r="C828" s="86"/>
      <c r="D828" s="86"/>
    </row>
    <row r="829">
      <c r="B829" s="86"/>
      <c r="C829" s="86"/>
      <c r="D829" s="86"/>
    </row>
    <row r="830">
      <c r="B830" s="86"/>
      <c r="C830" s="86"/>
      <c r="D830" s="86"/>
    </row>
    <row r="831">
      <c r="B831" s="86"/>
      <c r="C831" s="86"/>
      <c r="D831" s="86"/>
    </row>
    <row r="832">
      <c r="B832" s="86"/>
      <c r="C832" s="86"/>
      <c r="D832" s="86"/>
    </row>
    <row r="833">
      <c r="B833" s="86"/>
      <c r="C833" s="86"/>
      <c r="D833" s="86"/>
    </row>
    <row r="834">
      <c r="B834" s="86"/>
      <c r="C834" s="86"/>
      <c r="D834" s="86"/>
    </row>
    <row r="835">
      <c r="B835" s="86"/>
      <c r="C835" s="86"/>
      <c r="D835" s="86"/>
    </row>
    <row r="836">
      <c r="B836" s="86"/>
      <c r="C836" s="86"/>
      <c r="D836" s="86"/>
    </row>
    <row r="837">
      <c r="B837" s="86"/>
      <c r="C837" s="86"/>
      <c r="D837" s="86"/>
    </row>
    <row r="838">
      <c r="B838" s="86"/>
      <c r="C838" s="86"/>
      <c r="D838" s="86"/>
    </row>
    <row r="839">
      <c r="B839" s="86"/>
      <c r="C839" s="86"/>
      <c r="D839" s="86"/>
    </row>
    <row r="840">
      <c r="B840" s="86"/>
      <c r="C840" s="86"/>
      <c r="D840" s="86"/>
    </row>
    <row r="841">
      <c r="B841" s="86"/>
      <c r="C841" s="86"/>
      <c r="D841" s="86"/>
    </row>
    <row r="842">
      <c r="B842" s="86"/>
      <c r="C842" s="86"/>
      <c r="D842" s="86"/>
    </row>
    <row r="843">
      <c r="B843" s="86"/>
      <c r="C843" s="86"/>
      <c r="D843" s="86"/>
    </row>
    <row r="844">
      <c r="B844" s="86"/>
      <c r="C844" s="86"/>
      <c r="D844" s="86"/>
    </row>
    <row r="845">
      <c r="B845" s="86"/>
      <c r="C845" s="86"/>
      <c r="D845" s="86"/>
    </row>
    <row r="846">
      <c r="B846" s="86"/>
      <c r="C846" s="86"/>
      <c r="D846" s="86"/>
    </row>
    <row r="847">
      <c r="B847" s="86"/>
      <c r="C847" s="86"/>
      <c r="D847" s="86"/>
    </row>
    <row r="848">
      <c r="B848" s="86"/>
      <c r="C848" s="86"/>
      <c r="D848" s="86"/>
    </row>
    <row r="849">
      <c r="B849" s="86"/>
      <c r="C849" s="86"/>
      <c r="D849" s="86"/>
    </row>
    <row r="850">
      <c r="B850" s="86"/>
      <c r="C850" s="86"/>
      <c r="D850" s="86"/>
    </row>
    <row r="851">
      <c r="B851" s="86"/>
      <c r="C851" s="86"/>
      <c r="D851" s="86"/>
    </row>
    <row r="852">
      <c r="B852" s="86"/>
      <c r="C852" s="86"/>
      <c r="D852" s="86"/>
    </row>
    <row r="853">
      <c r="B853" s="86"/>
      <c r="C853" s="86"/>
      <c r="D853" s="86"/>
    </row>
    <row r="854">
      <c r="B854" s="86"/>
      <c r="C854" s="86"/>
      <c r="D854" s="86"/>
    </row>
    <row r="855">
      <c r="B855" s="86"/>
      <c r="C855" s="86"/>
      <c r="D855" s="86"/>
    </row>
    <row r="856">
      <c r="B856" s="86"/>
      <c r="C856" s="86"/>
      <c r="D856" s="86"/>
    </row>
    <row r="857">
      <c r="B857" s="86"/>
      <c r="C857" s="86"/>
      <c r="D857" s="86"/>
    </row>
    <row r="858">
      <c r="B858" s="86"/>
      <c r="C858" s="86"/>
      <c r="D858" s="86"/>
    </row>
    <row r="859">
      <c r="B859" s="86"/>
      <c r="C859" s="86"/>
      <c r="D859" s="86"/>
    </row>
    <row r="860">
      <c r="B860" s="86"/>
      <c r="C860" s="86"/>
      <c r="D860" s="86"/>
    </row>
    <row r="861">
      <c r="B861" s="86"/>
      <c r="C861" s="86"/>
      <c r="D861" s="86"/>
    </row>
    <row r="862">
      <c r="B862" s="86"/>
      <c r="C862" s="86"/>
      <c r="D862" s="86"/>
    </row>
    <row r="863">
      <c r="B863" s="86"/>
      <c r="C863" s="86"/>
      <c r="D863" s="86"/>
    </row>
    <row r="864">
      <c r="B864" s="86"/>
      <c r="C864" s="86"/>
      <c r="D864" s="86"/>
    </row>
    <row r="865">
      <c r="B865" s="86"/>
      <c r="C865" s="86"/>
      <c r="D865" s="86"/>
    </row>
    <row r="866">
      <c r="B866" s="86"/>
      <c r="C866" s="86"/>
      <c r="D866" s="86"/>
    </row>
    <row r="867">
      <c r="B867" s="86"/>
      <c r="C867" s="86"/>
      <c r="D867" s="86"/>
    </row>
    <row r="868">
      <c r="B868" s="86"/>
      <c r="C868" s="86"/>
      <c r="D868" s="86"/>
    </row>
    <row r="869">
      <c r="B869" s="86"/>
      <c r="C869" s="86"/>
      <c r="D869" s="86"/>
    </row>
    <row r="870">
      <c r="B870" s="86"/>
      <c r="C870" s="86"/>
      <c r="D870" s="86"/>
    </row>
    <row r="871">
      <c r="B871" s="86"/>
      <c r="C871" s="86"/>
      <c r="D871" s="86"/>
    </row>
    <row r="872">
      <c r="B872" s="86"/>
      <c r="C872" s="86"/>
      <c r="D872" s="86"/>
    </row>
    <row r="873">
      <c r="B873" s="86"/>
      <c r="C873" s="86"/>
      <c r="D873" s="86"/>
    </row>
    <row r="874">
      <c r="B874" s="86"/>
      <c r="C874" s="86"/>
      <c r="D874" s="86"/>
    </row>
    <row r="875">
      <c r="B875" s="86"/>
      <c r="C875" s="86"/>
      <c r="D875" s="86"/>
    </row>
    <row r="876">
      <c r="B876" s="86"/>
      <c r="C876" s="86"/>
      <c r="D876" s="86"/>
    </row>
    <row r="877">
      <c r="B877" s="86"/>
      <c r="C877" s="86"/>
      <c r="D877" s="86"/>
    </row>
    <row r="878">
      <c r="B878" s="86"/>
      <c r="C878" s="86"/>
      <c r="D878" s="86"/>
    </row>
    <row r="879">
      <c r="B879" s="86"/>
      <c r="C879" s="86"/>
      <c r="D879" s="86"/>
    </row>
    <row r="880">
      <c r="B880" s="86"/>
      <c r="C880" s="86"/>
      <c r="D880" s="86"/>
    </row>
    <row r="881">
      <c r="B881" s="86"/>
      <c r="C881" s="86"/>
      <c r="D881" s="86"/>
    </row>
    <row r="882">
      <c r="B882" s="86"/>
      <c r="C882" s="86"/>
      <c r="D882" s="86"/>
    </row>
    <row r="883">
      <c r="B883" s="86"/>
      <c r="C883" s="86"/>
      <c r="D883" s="86"/>
    </row>
    <row r="884">
      <c r="B884" s="86"/>
      <c r="C884" s="86"/>
      <c r="D884" s="86"/>
    </row>
    <row r="885">
      <c r="B885" s="86"/>
      <c r="C885" s="86"/>
      <c r="D885" s="86"/>
    </row>
    <row r="886">
      <c r="B886" s="86"/>
      <c r="C886" s="86"/>
      <c r="D886" s="86"/>
    </row>
    <row r="887">
      <c r="B887" s="86"/>
      <c r="C887" s="86"/>
      <c r="D887" s="86"/>
    </row>
    <row r="888">
      <c r="B888" s="86"/>
      <c r="C888" s="86"/>
      <c r="D888" s="86"/>
    </row>
    <row r="889">
      <c r="B889" s="86"/>
      <c r="C889" s="86"/>
      <c r="D889" s="86"/>
    </row>
    <row r="890">
      <c r="B890" s="86"/>
      <c r="C890" s="86"/>
      <c r="D890" s="86"/>
    </row>
    <row r="891">
      <c r="B891" s="86"/>
      <c r="C891" s="86"/>
      <c r="D891" s="86"/>
    </row>
    <row r="892">
      <c r="B892" s="86"/>
      <c r="C892" s="86"/>
      <c r="D892" s="86"/>
    </row>
    <row r="893">
      <c r="B893" s="86"/>
      <c r="C893" s="86"/>
      <c r="D893" s="86"/>
    </row>
    <row r="894">
      <c r="B894" s="86"/>
      <c r="C894" s="86"/>
      <c r="D894" s="86"/>
    </row>
    <row r="895">
      <c r="B895" s="86"/>
      <c r="C895" s="86"/>
      <c r="D895" s="86"/>
    </row>
    <row r="896">
      <c r="B896" s="86"/>
      <c r="C896" s="86"/>
      <c r="D896" s="86"/>
    </row>
    <row r="897">
      <c r="B897" s="86"/>
      <c r="C897" s="86"/>
      <c r="D897" s="86"/>
    </row>
    <row r="898">
      <c r="B898" s="86"/>
      <c r="C898" s="86"/>
      <c r="D898" s="86"/>
    </row>
    <row r="899">
      <c r="B899" s="86"/>
      <c r="C899" s="86"/>
      <c r="D899" s="86"/>
    </row>
    <row r="900">
      <c r="B900" s="86"/>
      <c r="C900" s="86"/>
      <c r="D900" s="86"/>
    </row>
    <row r="901">
      <c r="B901" s="86"/>
      <c r="C901" s="86"/>
      <c r="D901" s="86"/>
    </row>
    <row r="902">
      <c r="B902" s="86"/>
      <c r="C902" s="86"/>
      <c r="D902" s="86"/>
    </row>
    <row r="903">
      <c r="B903" s="86"/>
      <c r="C903" s="86"/>
      <c r="D903" s="86"/>
    </row>
    <row r="904">
      <c r="B904" s="86"/>
      <c r="C904" s="86"/>
      <c r="D904" s="86"/>
    </row>
    <row r="905">
      <c r="B905" s="86"/>
      <c r="C905" s="86"/>
      <c r="D905" s="86"/>
    </row>
    <row r="906">
      <c r="B906" s="86"/>
      <c r="C906" s="86"/>
      <c r="D906" s="86"/>
    </row>
    <row r="907">
      <c r="B907" s="86"/>
      <c r="C907" s="86"/>
      <c r="D907" s="86"/>
    </row>
    <row r="908">
      <c r="B908" s="86"/>
      <c r="C908" s="86"/>
      <c r="D908" s="86"/>
    </row>
    <row r="909">
      <c r="B909" s="86"/>
      <c r="C909" s="86"/>
      <c r="D909" s="86"/>
    </row>
    <row r="910">
      <c r="B910" s="86"/>
      <c r="C910" s="86"/>
      <c r="D910" s="86"/>
    </row>
    <row r="911">
      <c r="B911" s="86"/>
      <c r="C911" s="86"/>
      <c r="D911" s="86"/>
    </row>
    <row r="912">
      <c r="B912" s="86"/>
      <c r="C912" s="86"/>
      <c r="D912" s="86"/>
    </row>
    <row r="913">
      <c r="B913" s="86"/>
      <c r="C913" s="86"/>
      <c r="D913" s="86"/>
    </row>
    <row r="914">
      <c r="B914" s="86"/>
      <c r="C914" s="86"/>
      <c r="D914" s="86"/>
    </row>
    <row r="915">
      <c r="B915" s="86"/>
      <c r="C915" s="86"/>
      <c r="D915" s="86"/>
    </row>
    <row r="916">
      <c r="B916" s="86"/>
      <c r="C916" s="86"/>
      <c r="D916" s="86"/>
    </row>
    <row r="917">
      <c r="B917" s="86"/>
      <c r="C917" s="86"/>
      <c r="D917" s="86"/>
    </row>
    <row r="918">
      <c r="B918" s="86"/>
      <c r="C918" s="86"/>
      <c r="D918" s="86"/>
    </row>
    <row r="919">
      <c r="B919" s="86"/>
      <c r="C919" s="86"/>
      <c r="D919" s="86"/>
    </row>
    <row r="920">
      <c r="B920" s="86"/>
      <c r="C920" s="86"/>
      <c r="D920" s="86"/>
    </row>
    <row r="921">
      <c r="B921" s="86"/>
      <c r="C921" s="86"/>
      <c r="D921" s="86"/>
    </row>
    <row r="922">
      <c r="B922" s="86"/>
      <c r="C922" s="86"/>
      <c r="D922" s="86"/>
    </row>
    <row r="923">
      <c r="B923" s="86"/>
      <c r="C923" s="86"/>
      <c r="D923" s="86"/>
    </row>
    <row r="924">
      <c r="B924" s="86"/>
      <c r="C924" s="86"/>
      <c r="D924" s="86"/>
    </row>
    <row r="925">
      <c r="B925" s="86"/>
      <c r="C925" s="86"/>
      <c r="D925" s="86"/>
    </row>
    <row r="926">
      <c r="B926" s="86"/>
      <c r="C926" s="86"/>
      <c r="D926" s="86"/>
    </row>
    <row r="927">
      <c r="B927" s="86"/>
      <c r="C927" s="86"/>
      <c r="D927" s="86"/>
    </row>
    <row r="928">
      <c r="B928" s="86"/>
      <c r="C928" s="86"/>
      <c r="D928" s="86"/>
    </row>
    <row r="929">
      <c r="B929" s="86"/>
      <c r="C929" s="86"/>
      <c r="D929" s="86"/>
    </row>
    <row r="930">
      <c r="B930" s="86"/>
      <c r="C930" s="86"/>
      <c r="D930" s="86"/>
    </row>
    <row r="931">
      <c r="B931" s="86"/>
      <c r="C931" s="86"/>
      <c r="D931" s="86"/>
    </row>
    <row r="932">
      <c r="B932" s="86"/>
      <c r="C932" s="86"/>
      <c r="D932" s="86"/>
    </row>
    <row r="933">
      <c r="B933" s="86"/>
      <c r="C933" s="86"/>
      <c r="D933" s="86"/>
    </row>
    <row r="934">
      <c r="B934" s="86"/>
      <c r="C934" s="86"/>
      <c r="D934" s="86"/>
    </row>
    <row r="935">
      <c r="B935" s="86"/>
      <c r="C935" s="86"/>
      <c r="D935" s="86"/>
    </row>
    <row r="936">
      <c r="B936" s="86"/>
      <c r="C936" s="86"/>
      <c r="D936" s="86"/>
    </row>
    <row r="937">
      <c r="B937" s="86"/>
      <c r="C937" s="86"/>
      <c r="D937" s="86"/>
    </row>
    <row r="938">
      <c r="B938" s="86"/>
      <c r="C938" s="86"/>
      <c r="D938" s="86"/>
    </row>
    <row r="939">
      <c r="B939" s="86"/>
      <c r="C939" s="86"/>
      <c r="D939" s="86"/>
    </row>
    <row r="940">
      <c r="B940" s="86"/>
      <c r="C940" s="86"/>
      <c r="D940" s="86"/>
    </row>
    <row r="941">
      <c r="B941" s="86"/>
      <c r="C941" s="86"/>
      <c r="D941" s="86"/>
    </row>
    <row r="942">
      <c r="B942" s="86"/>
      <c r="C942" s="86"/>
      <c r="D942" s="86"/>
    </row>
    <row r="943">
      <c r="B943" s="86"/>
      <c r="C943" s="86"/>
      <c r="D943" s="86"/>
    </row>
    <row r="944">
      <c r="B944" s="86"/>
      <c r="C944" s="86"/>
      <c r="D944" s="86"/>
    </row>
    <row r="945">
      <c r="B945" s="86"/>
      <c r="C945" s="86"/>
      <c r="D945" s="86"/>
    </row>
    <row r="946">
      <c r="B946" s="86"/>
      <c r="C946" s="86"/>
      <c r="D946" s="86"/>
    </row>
    <row r="947">
      <c r="B947" s="86"/>
      <c r="C947" s="86"/>
      <c r="D947" s="86"/>
    </row>
    <row r="948">
      <c r="B948" s="86"/>
      <c r="C948" s="86"/>
      <c r="D948" s="86"/>
    </row>
    <row r="949">
      <c r="B949" s="86"/>
      <c r="C949" s="86"/>
      <c r="D949" s="86"/>
    </row>
    <row r="950">
      <c r="B950" s="86"/>
      <c r="C950" s="86"/>
      <c r="D950" s="86"/>
    </row>
    <row r="951">
      <c r="B951" s="86"/>
      <c r="C951" s="86"/>
      <c r="D951" s="86"/>
    </row>
    <row r="952">
      <c r="B952" s="86"/>
      <c r="C952" s="86"/>
      <c r="D952" s="86"/>
    </row>
    <row r="953">
      <c r="B953" s="86"/>
      <c r="C953" s="86"/>
      <c r="D953" s="86"/>
    </row>
    <row r="954">
      <c r="B954" s="86"/>
      <c r="C954" s="86"/>
      <c r="D954" s="86"/>
    </row>
    <row r="955">
      <c r="B955" s="86"/>
      <c r="C955" s="86"/>
      <c r="D955" s="86"/>
    </row>
    <row r="956">
      <c r="B956" s="86"/>
      <c r="C956" s="86"/>
      <c r="D956" s="86"/>
    </row>
    <row r="957">
      <c r="B957" s="86"/>
      <c r="C957" s="86"/>
      <c r="D957" s="86"/>
    </row>
    <row r="958">
      <c r="B958" s="86"/>
      <c r="C958" s="86"/>
      <c r="D958" s="86"/>
    </row>
    <row r="959">
      <c r="B959" s="86"/>
      <c r="C959" s="86"/>
      <c r="D959" s="86"/>
    </row>
    <row r="960">
      <c r="B960" s="86"/>
      <c r="C960" s="86"/>
      <c r="D960" s="86"/>
    </row>
    <row r="961">
      <c r="B961" s="86"/>
      <c r="C961" s="86"/>
      <c r="D961" s="86"/>
    </row>
    <row r="962">
      <c r="B962" s="86"/>
      <c r="C962" s="86"/>
      <c r="D962" s="86"/>
    </row>
    <row r="963">
      <c r="B963" s="86"/>
      <c r="C963" s="86"/>
      <c r="D963" s="86"/>
    </row>
    <row r="964">
      <c r="B964" s="86"/>
      <c r="C964" s="86"/>
      <c r="D964" s="86"/>
    </row>
    <row r="965">
      <c r="B965" s="86"/>
      <c r="C965" s="86"/>
      <c r="D965" s="86"/>
    </row>
    <row r="966">
      <c r="B966" s="86"/>
      <c r="C966" s="86"/>
      <c r="D966" s="86"/>
    </row>
    <row r="967">
      <c r="B967" s="86"/>
      <c r="C967" s="86"/>
      <c r="D967" s="86"/>
    </row>
    <row r="968">
      <c r="B968" s="86"/>
      <c r="C968" s="86"/>
      <c r="D968" s="86"/>
    </row>
    <row r="969">
      <c r="B969" s="86"/>
      <c r="C969" s="86"/>
      <c r="D969" s="86"/>
    </row>
    <row r="970">
      <c r="B970" s="86"/>
      <c r="C970" s="86"/>
      <c r="D970" s="86"/>
    </row>
    <row r="971">
      <c r="B971" s="86"/>
      <c r="C971" s="86"/>
      <c r="D971" s="86"/>
    </row>
    <row r="972">
      <c r="B972" s="86"/>
      <c r="C972" s="86"/>
      <c r="D972" s="86"/>
    </row>
    <row r="973">
      <c r="B973" s="86"/>
      <c r="C973" s="86"/>
      <c r="D973" s="86"/>
    </row>
    <row r="974">
      <c r="B974" s="86"/>
      <c r="C974" s="86"/>
      <c r="D974" s="86"/>
    </row>
    <row r="975">
      <c r="B975" s="86"/>
      <c r="C975" s="86"/>
      <c r="D975" s="86"/>
    </row>
    <row r="976">
      <c r="B976" s="86"/>
      <c r="C976" s="86"/>
      <c r="D976" s="86"/>
    </row>
    <row r="977">
      <c r="B977" s="86"/>
      <c r="C977" s="86"/>
      <c r="D977" s="86"/>
    </row>
    <row r="978">
      <c r="B978" s="86"/>
      <c r="C978" s="86"/>
      <c r="D978" s="86"/>
    </row>
    <row r="979">
      <c r="B979" s="86"/>
      <c r="C979" s="86"/>
      <c r="D979" s="86"/>
    </row>
    <row r="980">
      <c r="B980" s="86"/>
      <c r="C980" s="86"/>
      <c r="D980" s="86"/>
    </row>
    <row r="981">
      <c r="B981" s="86"/>
      <c r="C981" s="86"/>
      <c r="D981" s="86"/>
    </row>
    <row r="982">
      <c r="B982" s="86"/>
      <c r="C982" s="86"/>
      <c r="D982" s="86"/>
    </row>
    <row r="983">
      <c r="B983" s="86"/>
      <c r="C983" s="86"/>
      <c r="D983" s="86"/>
    </row>
    <row r="984">
      <c r="B984" s="86"/>
      <c r="C984" s="86"/>
      <c r="D984" s="86"/>
    </row>
    <row r="985">
      <c r="B985" s="86"/>
      <c r="C985" s="86"/>
      <c r="D985" s="86"/>
    </row>
    <row r="986">
      <c r="B986" s="86"/>
      <c r="C986" s="86"/>
      <c r="D986" s="86"/>
    </row>
    <row r="987">
      <c r="B987" s="86"/>
      <c r="C987" s="86"/>
      <c r="D987" s="86"/>
    </row>
    <row r="988">
      <c r="B988" s="86"/>
      <c r="C988" s="86"/>
      <c r="D988" s="86"/>
    </row>
    <row r="989">
      <c r="B989" s="86"/>
      <c r="C989" s="86"/>
      <c r="D989" s="86"/>
    </row>
    <row r="990">
      <c r="B990" s="86"/>
      <c r="C990" s="86"/>
      <c r="D990" s="86"/>
    </row>
    <row r="991">
      <c r="B991" s="86"/>
      <c r="C991" s="86"/>
      <c r="D991" s="86"/>
    </row>
    <row r="992">
      <c r="B992" s="86"/>
      <c r="C992" s="86"/>
      <c r="D992" s="86"/>
    </row>
    <row r="993">
      <c r="B993" s="86"/>
      <c r="C993" s="86"/>
      <c r="D993" s="86"/>
    </row>
    <row r="994">
      <c r="B994" s="86"/>
      <c r="C994" s="86"/>
      <c r="D994" s="86"/>
    </row>
    <row r="995">
      <c r="B995" s="86"/>
      <c r="C995" s="86"/>
      <c r="D995" s="86"/>
    </row>
    <row r="996">
      <c r="B996" s="86"/>
      <c r="C996" s="86"/>
      <c r="D996" s="86"/>
    </row>
    <row r="997">
      <c r="B997" s="86"/>
      <c r="C997" s="86"/>
      <c r="D997" s="86"/>
    </row>
    <row r="998">
      <c r="B998" s="86"/>
      <c r="C998" s="86"/>
      <c r="D998" s="86"/>
    </row>
    <row r="999">
      <c r="B999" s="86"/>
      <c r="C999" s="86"/>
      <c r="D999" s="86"/>
    </row>
    <row r="1000">
      <c r="B1000" s="86"/>
      <c r="C1000" s="86"/>
      <c r="D1000" s="8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8">
        <v>2022.0</v>
      </c>
      <c r="B1" s="200">
        <f>SUM('ОСНОВА'!J185:J227)</f>
        <v>0</v>
      </c>
      <c r="C1" s="200">
        <f t="shared" ref="C1:C4" si="1">B1*5</f>
        <v>0</v>
      </c>
      <c r="D1" s="200">
        <v>0.0</v>
      </c>
    </row>
    <row r="2">
      <c r="A2" s="68">
        <v>2023.0</v>
      </c>
      <c r="B2" s="200">
        <f>SUM('ОСНОВА'!J132:J184)</f>
        <v>1602</v>
      </c>
      <c r="C2" s="200">
        <f t="shared" si="1"/>
        <v>8010</v>
      </c>
      <c r="D2" s="200">
        <v>0.0</v>
      </c>
    </row>
    <row r="3">
      <c r="A3" s="68">
        <v>2024.0</v>
      </c>
      <c r="B3" s="200">
        <f>SUM('ОСНОВА'!J79:J131)</f>
        <v>1875</v>
      </c>
      <c r="C3" s="200">
        <f t="shared" si="1"/>
        <v>9375</v>
      </c>
      <c r="D3" s="200">
        <v>0.0</v>
      </c>
    </row>
    <row r="4">
      <c r="A4" s="68">
        <v>2025.0</v>
      </c>
      <c r="B4" s="200">
        <f>SUM('ОСНОВА'!J5:J78)</f>
        <v>2566</v>
      </c>
      <c r="C4" s="200">
        <f t="shared" si="1"/>
        <v>12830</v>
      </c>
      <c r="D4" s="86">
        <f>30*6*5</f>
        <v>900</v>
      </c>
    </row>
    <row r="5">
      <c r="B5" s="86"/>
      <c r="C5" s="86"/>
      <c r="D5" s="86"/>
    </row>
    <row r="6">
      <c r="B6" s="86"/>
      <c r="C6" s="86"/>
      <c r="D6" s="86"/>
    </row>
    <row r="7">
      <c r="B7" s="86"/>
      <c r="C7" s="86"/>
      <c r="D7" s="86"/>
    </row>
    <row r="8">
      <c r="B8" s="86"/>
      <c r="C8" s="86"/>
      <c r="D8" s="86"/>
    </row>
    <row r="9">
      <c r="B9" s="86"/>
      <c r="C9" s="86"/>
      <c r="D9" s="86"/>
    </row>
    <row r="10">
      <c r="B10" s="86"/>
      <c r="C10" s="86"/>
      <c r="D10" s="86"/>
    </row>
    <row r="11">
      <c r="B11" s="86"/>
      <c r="C11" s="86"/>
      <c r="D11" s="86"/>
    </row>
    <row r="12">
      <c r="B12" s="86"/>
      <c r="C12" s="86"/>
      <c r="D12" s="86"/>
    </row>
    <row r="13">
      <c r="B13" s="86"/>
      <c r="C13" s="86"/>
      <c r="D13" s="86"/>
    </row>
    <row r="14">
      <c r="B14" s="86"/>
      <c r="C14" s="86"/>
      <c r="D14" s="86"/>
    </row>
    <row r="15">
      <c r="B15" s="86"/>
      <c r="C15" s="86"/>
      <c r="D15" s="86"/>
    </row>
    <row r="16">
      <c r="B16" s="86"/>
      <c r="C16" s="86"/>
      <c r="D16" s="86"/>
    </row>
    <row r="17">
      <c r="B17" s="86">
        <f>C3-C4</f>
        <v>-3455</v>
      </c>
      <c r="C17" s="86">
        <f>B17/5</f>
        <v>-691</v>
      </c>
      <c r="D17" s="86">
        <f>C17/6</f>
        <v>-115.1666667</v>
      </c>
    </row>
    <row r="18">
      <c r="B18" s="86"/>
      <c r="C18" s="86"/>
      <c r="D18" s="86"/>
    </row>
    <row r="19">
      <c r="B19" s="200">
        <v>7725.0</v>
      </c>
      <c r="C19" s="86"/>
      <c r="D19" s="86">
        <f>B19*5</f>
        <v>38625</v>
      </c>
    </row>
    <row r="20">
      <c r="A20" s="82">
        <f>B20/8</f>
        <v>154.875</v>
      </c>
      <c r="B20" s="86">
        <f>C20/5</f>
        <v>1239</v>
      </c>
      <c r="C20" s="200">
        <v>6195.0</v>
      </c>
      <c r="D20" s="86"/>
    </row>
    <row r="21">
      <c r="B21" s="86"/>
      <c r="C21" s="86"/>
      <c r="D21" s="86"/>
    </row>
    <row r="22">
      <c r="B22" s="86"/>
      <c r="C22" s="86"/>
      <c r="D22" s="86"/>
    </row>
    <row r="23">
      <c r="B23" s="86"/>
      <c r="C23" s="86"/>
      <c r="D23" s="86"/>
    </row>
    <row r="24">
      <c r="B24" s="86"/>
      <c r="C24" s="86"/>
      <c r="D24" s="86"/>
    </row>
    <row r="25">
      <c r="B25" s="86"/>
      <c r="C25" s="86"/>
      <c r="D25" s="86"/>
    </row>
    <row r="26">
      <c r="B26" s="86"/>
      <c r="C26" s="86"/>
      <c r="D26" s="86"/>
    </row>
    <row r="27">
      <c r="B27" s="86"/>
      <c r="C27" s="86"/>
      <c r="D27" s="86"/>
    </row>
    <row r="28">
      <c r="B28" s="86"/>
      <c r="C28" s="86"/>
      <c r="D28" s="86"/>
    </row>
    <row r="29">
      <c r="B29" s="86"/>
      <c r="C29" s="86"/>
      <c r="D29" s="86"/>
    </row>
    <row r="30">
      <c r="B30" s="86"/>
      <c r="C30" s="86"/>
      <c r="D30" s="86"/>
    </row>
    <row r="31">
      <c r="B31" s="86"/>
      <c r="C31" s="86"/>
      <c r="D31" s="86"/>
      <c r="N31" s="201"/>
    </row>
    <row r="32">
      <c r="B32" s="86"/>
      <c r="C32" s="86"/>
      <c r="D32" s="86"/>
    </row>
    <row r="33">
      <c r="B33" s="86"/>
      <c r="C33" s="86"/>
      <c r="D33" s="86"/>
    </row>
    <row r="34">
      <c r="B34" s="86"/>
      <c r="C34" s="86"/>
      <c r="D34" s="86"/>
    </row>
    <row r="35">
      <c r="B35" s="86"/>
      <c r="C35" s="86"/>
      <c r="D35" s="86"/>
    </row>
    <row r="36">
      <c r="B36" s="86"/>
      <c r="C36" s="86"/>
      <c r="D36" s="86"/>
    </row>
    <row r="37">
      <c r="B37" s="86"/>
      <c r="C37" s="86"/>
      <c r="D37" s="86"/>
    </row>
    <row r="38">
      <c r="B38" s="86"/>
      <c r="C38" s="86"/>
      <c r="D38" s="86"/>
    </row>
    <row r="39">
      <c r="B39" s="86"/>
      <c r="C39" s="86"/>
      <c r="D39" s="86"/>
    </row>
    <row r="40">
      <c r="B40" s="86"/>
      <c r="C40" s="86"/>
      <c r="D40" s="86"/>
    </row>
    <row r="41">
      <c r="B41" s="86"/>
      <c r="C41" s="86"/>
      <c r="D41" s="86"/>
    </row>
    <row r="42">
      <c r="B42" s="86"/>
      <c r="C42" s="86"/>
      <c r="D42" s="86"/>
    </row>
    <row r="43">
      <c r="B43" s="86"/>
      <c r="C43" s="86"/>
      <c r="D43" s="86"/>
    </row>
    <row r="44">
      <c r="B44" s="86"/>
      <c r="C44" s="86"/>
      <c r="D44" s="86"/>
    </row>
    <row r="45">
      <c r="B45" s="86"/>
      <c r="C45" s="86"/>
      <c r="D45" s="86"/>
    </row>
    <row r="46">
      <c r="B46" s="86"/>
      <c r="C46" s="86"/>
      <c r="D46" s="86"/>
    </row>
    <row r="47">
      <c r="B47" s="86"/>
      <c r="C47" s="86"/>
      <c r="D47" s="86"/>
    </row>
    <row r="48">
      <c r="B48" s="86"/>
      <c r="C48" s="86"/>
      <c r="D48" s="86"/>
    </row>
    <row r="49">
      <c r="B49" s="86"/>
      <c r="C49" s="86"/>
      <c r="D49" s="86"/>
    </row>
    <row r="50">
      <c r="B50" s="86"/>
      <c r="C50" s="86"/>
      <c r="D50" s="86"/>
    </row>
    <row r="51">
      <c r="B51" s="86"/>
      <c r="C51" s="86"/>
      <c r="D51" s="86"/>
    </row>
    <row r="52">
      <c r="B52" s="86"/>
      <c r="C52" s="86"/>
      <c r="D52" s="86"/>
    </row>
    <row r="53">
      <c r="B53" s="86"/>
      <c r="C53" s="86"/>
      <c r="D53" s="86"/>
    </row>
    <row r="54">
      <c r="B54" s="86"/>
      <c r="C54" s="86"/>
      <c r="D54" s="86"/>
    </row>
    <row r="55">
      <c r="B55" s="86"/>
      <c r="C55" s="86"/>
      <c r="D55" s="86"/>
    </row>
    <row r="56">
      <c r="B56" s="86"/>
      <c r="C56" s="86"/>
      <c r="D56" s="86"/>
    </row>
    <row r="57">
      <c r="B57" s="86"/>
      <c r="C57" s="86"/>
      <c r="D57" s="86"/>
    </row>
    <row r="58">
      <c r="B58" s="86"/>
      <c r="C58" s="86"/>
      <c r="D58" s="86"/>
    </row>
    <row r="59">
      <c r="B59" s="86"/>
      <c r="C59" s="86"/>
      <c r="D59" s="86"/>
    </row>
    <row r="60">
      <c r="B60" s="86"/>
      <c r="C60" s="86"/>
      <c r="D60" s="86"/>
    </row>
    <row r="61">
      <c r="B61" s="86"/>
      <c r="C61" s="86"/>
      <c r="D61" s="86"/>
    </row>
    <row r="62">
      <c r="B62" s="86"/>
      <c r="C62" s="86"/>
      <c r="D62" s="86"/>
    </row>
    <row r="63">
      <c r="B63" s="86"/>
      <c r="C63" s="86"/>
      <c r="D63" s="86"/>
    </row>
    <row r="64">
      <c r="B64" s="86"/>
      <c r="C64" s="86"/>
      <c r="D64" s="86"/>
    </row>
    <row r="65">
      <c r="B65" s="86"/>
      <c r="C65" s="86"/>
      <c r="D65" s="86"/>
    </row>
    <row r="66">
      <c r="B66" s="86"/>
      <c r="C66" s="86"/>
      <c r="D66" s="86"/>
    </row>
    <row r="67">
      <c r="B67" s="86"/>
      <c r="C67" s="86"/>
      <c r="D67" s="86"/>
    </row>
    <row r="68">
      <c r="B68" s="86"/>
      <c r="C68" s="86"/>
      <c r="D68" s="86"/>
    </row>
    <row r="69">
      <c r="B69" s="86"/>
      <c r="C69" s="86"/>
      <c r="D69" s="86"/>
    </row>
    <row r="70">
      <c r="B70" s="86"/>
      <c r="C70" s="86"/>
      <c r="D70" s="86"/>
    </row>
    <row r="71">
      <c r="B71" s="86"/>
      <c r="C71" s="86"/>
      <c r="D71" s="86"/>
    </row>
    <row r="72">
      <c r="B72" s="86"/>
      <c r="C72" s="86"/>
      <c r="D72" s="86"/>
    </row>
    <row r="73">
      <c r="B73" s="86"/>
      <c r="C73" s="86"/>
      <c r="D73" s="86"/>
    </row>
    <row r="74">
      <c r="B74" s="86"/>
      <c r="C74" s="86"/>
      <c r="D74" s="86"/>
    </row>
    <row r="75">
      <c r="B75" s="86"/>
      <c r="C75" s="86"/>
      <c r="D75" s="86"/>
    </row>
    <row r="76">
      <c r="B76" s="86"/>
      <c r="C76" s="86"/>
      <c r="D76" s="86"/>
    </row>
    <row r="77">
      <c r="B77" s="86"/>
      <c r="C77" s="86"/>
      <c r="D77" s="86"/>
    </row>
    <row r="78">
      <c r="B78" s="86"/>
      <c r="C78" s="86"/>
      <c r="D78" s="86"/>
    </row>
    <row r="79">
      <c r="B79" s="86"/>
      <c r="C79" s="86"/>
      <c r="D79" s="86"/>
    </row>
    <row r="80">
      <c r="B80" s="86"/>
      <c r="C80" s="86"/>
      <c r="D80" s="86"/>
    </row>
    <row r="81">
      <c r="B81" s="86"/>
      <c r="C81" s="86"/>
      <c r="D81" s="86"/>
    </row>
    <row r="82">
      <c r="B82" s="86"/>
      <c r="C82" s="86"/>
      <c r="D82" s="86"/>
    </row>
    <row r="83">
      <c r="B83" s="86"/>
      <c r="C83" s="86"/>
      <c r="D83" s="86"/>
    </row>
    <row r="84">
      <c r="B84" s="86"/>
      <c r="C84" s="86"/>
      <c r="D84" s="86"/>
    </row>
    <row r="85">
      <c r="B85" s="86"/>
      <c r="C85" s="86"/>
      <c r="D85" s="86"/>
    </row>
    <row r="86">
      <c r="B86" s="86"/>
      <c r="C86" s="86"/>
      <c r="D86" s="86"/>
    </row>
    <row r="87">
      <c r="B87" s="86"/>
      <c r="C87" s="86"/>
      <c r="D87" s="86"/>
    </row>
    <row r="88">
      <c r="B88" s="86"/>
      <c r="C88" s="86"/>
      <c r="D88" s="86"/>
    </row>
    <row r="89">
      <c r="B89" s="86"/>
      <c r="C89" s="86"/>
      <c r="D89" s="86"/>
    </row>
    <row r="90">
      <c r="B90" s="86"/>
      <c r="C90" s="86"/>
      <c r="D90" s="86"/>
    </row>
    <row r="91">
      <c r="B91" s="86"/>
      <c r="C91" s="86"/>
      <c r="D91" s="86"/>
    </row>
    <row r="92">
      <c r="B92" s="86"/>
      <c r="C92" s="86"/>
      <c r="D92" s="86"/>
    </row>
    <row r="93">
      <c r="B93" s="86"/>
      <c r="C93" s="86"/>
      <c r="D93" s="86"/>
    </row>
    <row r="94">
      <c r="B94" s="86"/>
      <c r="C94" s="86"/>
      <c r="D94" s="86"/>
    </row>
    <row r="95">
      <c r="B95" s="86"/>
      <c r="C95" s="86"/>
      <c r="D95" s="86"/>
    </row>
    <row r="96">
      <c r="B96" s="86"/>
      <c r="C96" s="86"/>
      <c r="D96" s="86"/>
    </row>
    <row r="97">
      <c r="B97" s="86"/>
      <c r="C97" s="86"/>
      <c r="D97" s="86"/>
    </row>
    <row r="98">
      <c r="B98" s="86"/>
      <c r="C98" s="86"/>
      <c r="D98" s="86"/>
    </row>
    <row r="99">
      <c r="B99" s="86"/>
      <c r="C99" s="86"/>
      <c r="D99" s="86"/>
    </row>
    <row r="100">
      <c r="B100" s="86"/>
      <c r="C100" s="86"/>
      <c r="D100" s="86"/>
    </row>
    <row r="101">
      <c r="B101" s="86"/>
      <c r="C101" s="86"/>
      <c r="D101" s="86"/>
    </row>
    <row r="102">
      <c r="B102" s="86"/>
      <c r="C102" s="86"/>
      <c r="D102" s="86"/>
    </row>
    <row r="103">
      <c r="B103" s="86"/>
      <c r="C103" s="86"/>
      <c r="D103" s="86"/>
    </row>
    <row r="104">
      <c r="B104" s="86"/>
      <c r="C104" s="86"/>
      <c r="D104" s="86"/>
    </row>
    <row r="105">
      <c r="B105" s="86"/>
      <c r="C105" s="86"/>
      <c r="D105" s="86"/>
    </row>
    <row r="106">
      <c r="B106" s="86"/>
      <c r="C106" s="86"/>
      <c r="D106" s="86"/>
    </row>
    <row r="107">
      <c r="B107" s="86"/>
      <c r="C107" s="86"/>
      <c r="D107" s="86"/>
    </row>
    <row r="108">
      <c r="B108" s="86"/>
      <c r="C108" s="86"/>
      <c r="D108" s="86"/>
    </row>
    <row r="109">
      <c r="B109" s="86"/>
      <c r="C109" s="86"/>
      <c r="D109" s="86"/>
    </row>
    <row r="110">
      <c r="B110" s="86"/>
      <c r="C110" s="86"/>
      <c r="D110" s="86"/>
    </row>
    <row r="111">
      <c r="B111" s="86"/>
      <c r="C111" s="86"/>
      <c r="D111" s="86"/>
    </row>
    <row r="112">
      <c r="B112" s="86"/>
      <c r="C112" s="86"/>
      <c r="D112" s="86"/>
    </row>
    <row r="113">
      <c r="B113" s="86"/>
      <c r="C113" s="86"/>
      <c r="D113" s="86"/>
    </row>
    <row r="114">
      <c r="B114" s="86"/>
      <c r="C114" s="86"/>
      <c r="D114" s="86"/>
    </row>
    <row r="115">
      <c r="B115" s="86"/>
      <c r="C115" s="86"/>
      <c r="D115" s="86"/>
    </row>
    <row r="116">
      <c r="B116" s="86"/>
      <c r="C116" s="86"/>
      <c r="D116" s="86"/>
    </row>
    <row r="117">
      <c r="B117" s="86"/>
      <c r="C117" s="86"/>
      <c r="D117" s="86"/>
    </row>
    <row r="118">
      <c r="B118" s="86"/>
      <c r="C118" s="86"/>
      <c r="D118" s="86"/>
    </row>
    <row r="119">
      <c r="B119" s="86"/>
      <c r="C119" s="86"/>
      <c r="D119" s="86"/>
    </row>
    <row r="120">
      <c r="B120" s="86"/>
      <c r="C120" s="86"/>
      <c r="D120" s="86"/>
    </row>
    <row r="121">
      <c r="B121" s="86"/>
      <c r="C121" s="86"/>
      <c r="D121" s="86"/>
    </row>
    <row r="122">
      <c r="B122" s="86"/>
      <c r="C122" s="86"/>
      <c r="D122" s="86"/>
    </row>
    <row r="123">
      <c r="B123" s="86"/>
      <c r="C123" s="86"/>
      <c r="D123" s="86"/>
    </row>
    <row r="124">
      <c r="B124" s="86"/>
      <c r="C124" s="86"/>
      <c r="D124" s="86"/>
    </row>
    <row r="125">
      <c r="B125" s="86"/>
      <c r="C125" s="86"/>
      <c r="D125" s="86"/>
    </row>
    <row r="126">
      <c r="B126" s="86"/>
      <c r="C126" s="86"/>
      <c r="D126" s="86"/>
    </row>
    <row r="127">
      <c r="B127" s="86"/>
      <c r="C127" s="86"/>
      <c r="D127" s="86"/>
    </row>
    <row r="128">
      <c r="B128" s="86"/>
      <c r="C128" s="86"/>
      <c r="D128" s="86"/>
    </row>
    <row r="129">
      <c r="B129" s="86"/>
      <c r="C129" s="86"/>
      <c r="D129" s="86"/>
    </row>
    <row r="130">
      <c r="B130" s="86"/>
      <c r="C130" s="86"/>
      <c r="D130" s="86"/>
    </row>
    <row r="131">
      <c r="B131" s="86"/>
      <c r="C131" s="86"/>
      <c r="D131" s="86"/>
    </row>
    <row r="132">
      <c r="B132" s="86"/>
      <c r="C132" s="86"/>
      <c r="D132" s="86"/>
    </row>
    <row r="133">
      <c r="B133" s="86"/>
      <c r="C133" s="86"/>
      <c r="D133" s="86"/>
    </row>
    <row r="134">
      <c r="B134" s="86"/>
      <c r="C134" s="86"/>
      <c r="D134" s="86"/>
    </row>
    <row r="135">
      <c r="B135" s="86"/>
      <c r="C135" s="86"/>
      <c r="D135" s="86"/>
    </row>
    <row r="136">
      <c r="B136" s="86"/>
      <c r="C136" s="86"/>
      <c r="D136" s="86"/>
    </row>
    <row r="137">
      <c r="B137" s="86"/>
      <c r="C137" s="86"/>
      <c r="D137" s="86"/>
    </row>
    <row r="138">
      <c r="B138" s="86"/>
      <c r="C138" s="86"/>
      <c r="D138" s="86"/>
    </row>
    <row r="139">
      <c r="B139" s="86"/>
      <c r="C139" s="86"/>
      <c r="D139" s="86"/>
    </row>
    <row r="140">
      <c r="B140" s="86"/>
      <c r="C140" s="86"/>
      <c r="D140" s="86"/>
    </row>
    <row r="141">
      <c r="B141" s="86"/>
      <c r="C141" s="86"/>
      <c r="D141" s="86"/>
    </row>
    <row r="142">
      <c r="B142" s="86"/>
      <c r="C142" s="86"/>
      <c r="D142" s="86"/>
    </row>
    <row r="143">
      <c r="B143" s="86"/>
      <c r="C143" s="86"/>
      <c r="D143" s="86"/>
    </row>
    <row r="144">
      <c r="B144" s="86"/>
      <c r="C144" s="86"/>
      <c r="D144" s="86"/>
    </row>
    <row r="145">
      <c r="B145" s="86"/>
      <c r="C145" s="86"/>
      <c r="D145" s="86"/>
    </row>
    <row r="146">
      <c r="B146" s="86"/>
      <c r="C146" s="86"/>
      <c r="D146" s="86"/>
    </row>
    <row r="147">
      <c r="B147" s="86"/>
      <c r="C147" s="86"/>
      <c r="D147" s="86"/>
    </row>
    <row r="148">
      <c r="B148" s="86"/>
      <c r="C148" s="86"/>
      <c r="D148" s="86"/>
    </row>
    <row r="149">
      <c r="B149" s="86"/>
      <c r="C149" s="86"/>
      <c r="D149" s="86"/>
    </row>
    <row r="150">
      <c r="B150" s="86"/>
      <c r="C150" s="86"/>
      <c r="D150" s="86"/>
    </row>
    <row r="151">
      <c r="B151" s="86"/>
      <c r="C151" s="86"/>
      <c r="D151" s="86"/>
    </row>
    <row r="152">
      <c r="B152" s="86"/>
      <c r="C152" s="86"/>
      <c r="D152" s="86"/>
    </row>
    <row r="153">
      <c r="B153" s="86"/>
      <c r="C153" s="86"/>
      <c r="D153" s="86"/>
    </row>
    <row r="154">
      <c r="B154" s="86"/>
      <c r="C154" s="86"/>
      <c r="D154" s="86"/>
    </row>
    <row r="155">
      <c r="B155" s="86"/>
      <c r="C155" s="86"/>
      <c r="D155" s="86"/>
    </row>
    <row r="156">
      <c r="B156" s="86"/>
      <c r="C156" s="86"/>
      <c r="D156" s="86"/>
    </row>
    <row r="157">
      <c r="B157" s="86"/>
      <c r="C157" s="86"/>
      <c r="D157" s="86"/>
    </row>
    <row r="158">
      <c r="B158" s="86"/>
      <c r="C158" s="86"/>
      <c r="D158" s="86"/>
    </row>
    <row r="159">
      <c r="B159" s="86"/>
      <c r="C159" s="86"/>
      <c r="D159" s="86"/>
    </row>
    <row r="160">
      <c r="B160" s="86"/>
      <c r="C160" s="86"/>
      <c r="D160" s="86"/>
    </row>
    <row r="161">
      <c r="B161" s="86"/>
      <c r="C161" s="86"/>
      <c r="D161" s="86"/>
    </row>
    <row r="162">
      <c r="B162" s="86"/>
      <c r="C162" s="86"/>
      <c r="D162" s="86"/>
    </row>
    <row r="163">
      <c r="B163" s="86"/>
      <c r="C163" s="86"/>
      <c r="D163" s="86"/>
    </row>
    <row r="164">
      <c r="B164" s="86"/>
      <c r="C164" s="86"/>
      <c r="D164" s="86"/>
    </row>
    <row r="165">
      <c r="B165" s="86"/>
      <c r="C165" s="86"/>
      <c r="D165" s="86"/>
    </row>
    <row r="166">
      <c r="B166" s="86"/>
      <c r="C166" s="86"/>
      <c r="D166" s="86"/>
    </row>
    <row r="167">
      <c r="B167" s="86"/>
      <c r="C167" s="86"/>
      <c r="D167" s="86"/>
    </row>
    <row r="168">
      <c r="B168" s="86"/>
      <c r="C168" s="86"/>
      <c r="D168" s="86"/>
    </row>
    <row r="169">
      <c r="B169" s="86"/>
      <c r="C169" s="86"/>
      <c r="D169" s="86"/>
    </row>
    <row r="170">
      <c r="B170" s="86"/>
      <c r="C170" s="86"/>
      <c r="D170" s="86"/>
    </row>
    <row r="171">
      <c r="B171" s="86"/>
      <c r="C171" s="86"/>
      <c r="D171" s="86"/>
    </row>
    <row r="172">
      <c r="B172" s="86"/>
      <c r="C172" s="86"/>
      <c r="D172" s="86"/>
    </row>
    <row r="173">
      <c r="B173" s="86"/>
      <c r="C173" s="86"/>
      <c r="D173" s="86"/>
    </row>
    <row r="174">
      <c r="B174" s="86"/>
      <c r="C174" s="86"/>
      <c r="D174" s="86"/>
    </row>
    <row r="175">
      <c r="B175" s="86"/>
      <c r="C175" s="86"/>
      <c r="D175" s="86"/>
    </row>
    <row r="176">
      <c r="B176" s="86"/>
      <c r="C176" s="86"/>
      <c r="D176" s="86"/>
    </row>
    <row r="177">
      <c r="B177" s="86"/>
      <c r="C177" s="86"/>
      <c r="D177" s="86"/>
    </row>
    <row r="178">
      <c r="B178" s="86"/>
      <c r="C178" s="86"/>
      <c r="D178" s="86"/>
    </row>
    <row r="179">
      <c r="B179" s="86"/>
      <c r="C179" s="86"/>
      <c r="D179" s="86"/>
    </row>
    <row r="180">
      <c r="B180" s="86"/>
      <c r="C180" s="86"/>
      <c r="D180" s="86"/>
    </row>
    <row r="181">
      <c r="B181" s="86"/>
      <c r="C181" s="86"/>
      <c r="D181" s="86"/>
    </row>
    <row r="182">
      <c r="B182" s="86"/>
      <c r="C182" s="86"/>
      <c r="D182" s="86"/>
    </row>
    <row r="183">
      <c r="B183" s="86"/>
      <c r="C183" s="86"/>
      <c r="D183" s="86"/>
    </row>
    <row r="184">
      <c r="B184" s="86"/>
      <c r="C184" s="86"/>
      <c r="D184" s="86"/>
    </row>
    <row r="185">
      <c r="B185" s="86"/>
      <c r="C185" s="86"/>
      <c r="D185" s="86"/>
    </row>
    <row r="186">
      <c r="B186" s="86"/>
      <c r="C186" s="86"/>
      <c r="D186" s="86"/>
    </row>
    <row r="187">
      <c r="B187" s="86"/>
      <c r="C187" s="86"/>
      <c r="D187" s="86"/>
    </row>
    <row r="188">
      <c r="B188" s="86"/>
      <c r="C188" s="86"/>
      <c r="D188" s="86"/>
    </row>
    <row r="189">
      <c r="B189" s="86"/>
      <c r="C189" s="86"/>
      <c r="D189" s="86"/>
    </row>
    <row r="190">
      <c r="B190" s="86"/>
      <c r="C190" s="86"/>
      <c r="D190" s="86"/>
    </row>
    <row r="191">
      <c r="B191" s="86"/>
      <c r="C191" s="86"/>
      <c r="D191" s="86"/>
    </row>
    <row r="192">
      <c r="B192" s="86"/>
      <c r="C192" s="86"/>
      <c r="D192" s="86"/>
    </row>
    <row r="193">
      <c r="B193" s="86"/>
      <c r="C193" s="86"/>
      <c r="D193" s="86"/>
    </row>
    <row r="194">
      <c r="B194" s="86"/>
      <c r="C194" s="86"/>
      <c r="D194" s="86"/>
    </row>
    <row r="195">
      <c r="B195" s="86"/>
      <c r="C195" s="86"/>
      <c r="D195" s="86"/>
    </row>
    <row r="196">
      <c r="B196" s="86"/>
      <c r="C196" s="86"/>
      <c r="D196" s="86"/>
    </row>
    <row r="197">
      <c r="B197" s="86"/>
      <c r="C197" s="86"/>
      <c r="D197" s="86"/>
    </row>
    <row r="198">
      <c r="B198" s="86"/>
      <c r="C198" s="86"/>
      <c r="D198" s="86"/>
    </row>
    <row r="199">
      <c r="B199" s="86"/>
      <c r="C199" s="86"/>
      <c r="D199" s="86"/>
    </row>
    <row r="200">
      <c r="B200" s="86"/>
      <c r="C200" s="86"/>
      <c r="D200" s="86"/>
    </row>
    <row r="201">
      <c r="B201" s="86"/>
      <c r="C201" s="86"/>
      <c r="D201" s="86"/>
    </row>
    <row r="202">
      <c r="B202" s="86"/>
      <c r="C202" s="86"/>
      <c r="D202" s="86"/>
    </row>
    <row r="203">
      <c r="B203" s="86"/>
      <c r="C203" s="86"/>
      <c r="D203" s="86"/>
    </row>
    <row r="204">
      <c r="B204" s="86"/>
      <c r="C204" s="86"/>
      <c r="D204" s="86"/>
    </row>
    <row r="205">
      <c r="B205" s="86"/>
      <c r="C205" s="86"/>
      <c r="D205" s="86"/>
    </row>
    <row r="206">
      <c r="B206" s="86"/>
      <c r="C206" s="86"/>
      <c r="D206" s="86"/>
    </row>
    <row r="207">
      <c r="B207" s="86"/>
      <c r="C207" s="86"/>
      <c r="D207" s="86"/>
    </row>
    <row r="208">
      <c r="B208" s="86"/>
      <c r="C208" s="86"/>
      <c r="D208" s="86"/>
    </row>
    <row r="209">
      <c r="B209" s="86"/>
      <c r="C209" s="86"/>
      <c r="D209" s="86"/>
    </row>
    <row r="210">
      <c r="B210" s="86"/>
      <c r="C210" s="86"/>
      <c r="D210" s="86"/>
    </row>
    <row r="211">
      <c r="B211" s="86"/>
      <c r="C211" s="86"/>
      <c r="D211" s="86"/>
    </row>
    <row r="212">
      <c r="B212" s="86"/>
      <c r="C212" s="86"/>
      <c r="D212" s="86"/>
    </row>
    <row r="213">
      <c r="B213" s="86"/>
      <c r="C213" s="86"/>
      <c r="D213" s="86"/>
    </row>
    <row r="214">
      <c r="B214" s="86"/>
      <c r="C214" s="86"/>
      <c r="D214" s="86"/>
    </row>
    <row r="215">
      <c r="B215" s="86"/>
      <c r="C215" s="86"/>
      <c r="D215" s="86"/>
    </row>
    <row r="216">
      <c r="B216" s="86"/>
      <c r="C216" s="86"/>
      <c r="D216" s="86"/>
    </row>
    <row r="217">
      <c r="B217" s="86"/>
      <c r="C217" s="86"/>
      <c r="D217" s="86"/>
    </row>
    <row r="218">
      <c r="B218" s="86"/>
      <c r="C218" s="86"/>
      <c r="D218" s="86"/>
    </row>
    <row r="219">
      <c r="B219" s="86"/>
      <c r="C219" s="86"/>
      <c r="D219" s="86"/>
    </row>
    <row r="220">
      <c r="B220" s="86"/>
      <c r="C220" s="86"/>
      <c r="D220" s="86"/>
    </row>
    <row r="221">
      <c r="B221" s="86"/>
      <c r="C221" s="86"/>
      <c r="D221" s="86"/>
    </row>
    <row r="222">
      <c r="B222" s="86"/>
      <c r="C222" s="86"/>
      <c r="D222" s="86"/>
    </row>
    <row r="223">
      <c r="B223" s="86"/>
      <c r="C223" s="86"/>
      <c r="D223" s="86"/>
    </row>
    <row r="224">
      <c r="B224" s="86"/>
      <c r="C224" s="86"/>
      <c r="D224" s="86"/>
    </row>
    <row r="225">
      <c r="B225" s="86"/>
      <c r="C225" s="86"/>
      <c r="D225" s="86"/>
    </row>
    <row r="226">
      <c r="B226" s="86"/>
      <c r="C226" s="86"/>
      <c r="D226" s="86"/>
    </row>
    <row r="227">
      <c r="B227" s="86"/>
      <c r="C227" s="86"/>
      <c r="D227" s="86"/>
    </row>
    <row r="228">
      <c r="B228" s="86"/>
      <c r="C228" s="86"/>
      <c r="D228" s="86"/>
    </row>
    <row r="229">
      <c r="B229" s="86"/>
      <c r="C229" s="86"/>
      <c r="D229" s="86"/>
    </row>
    <row r="230">
      <c r="B230" s="86"/>
      <c r="C230" s="86"/>
      <c r="D230" s="86"/>
    </row>
    <row r="231">
      <c r="B231" s="86"/>
      <c r="C231" s="86"/>
      <c r="D231" s="86"/>
    </row>
    <row r="232">
      <c r="B232" s="86"/>
      <c r="C232" s="86"/>
      <c r="D232" s="86"/>
    </row>
    <row r="233">
      <c r="B233" s="86"/>
      <c r="C233" s="86"/>
      <c r="D233" s="86"/>
    </row>
    <row r="234">
      <c r="B234" s="86"/>
      <c r="C234" s="86"/>
      <c r="D234" s="86"/>
    </row>
    <row r="235">
      <c r="B235" s="86"/>
      <c r="C235" s="86"/>
      <c r="D235" s="86"/>
    </row>
    <row r="236">
      <c r="B236" s="86"/>
      <c r="C236" s="86"/>
      <c r="D236" s="86"/>
    </row>
    <row r="237">
      <c r="B237" s="86"/>
      <c r="C237" s="86"/>
      <c r="D237" s="86"/>
    </row>
    <row r="238">
      <c r="B238" s="86"/>
      <c r="C238" s="86"/>
      <c r="D238" s="86"/>
    </row>
    <row r="239">
      <c r="B239" s="86"/>
      <c r="C239" s="86"/>
      <c r="D239" s="86"/>
    </row>
    <row r="240">
      <c r="B240" s="86"/>
      <c r="C240" s="86"/>
      <c r="D240" s="86"/>
    </row>
    <row r="241">
      <c r="B241" s="86"/>
      <c r="C241" s="86"/>
      <c r="D241" s="86"/>
    </row>
    <row r="242">
      <c r="B242" s="86"/>
      <c r="C242" s="86"/>
      <c r="D242" s="86"/>
    </row>
    <row r="243">
      <c r="B243" s="86"/>
      <c r="C243" s="86"/>
      <c r="D243" s="86"/>
    </row>
    <row r="244">
      <c r="B244" s="86"/>
      <c r="C244" s="86"/>
      <c r="D244" s="86"/>
    </row>
    <row r="245">
      <c r="B245" s="86"/>
      <c r="C245" s="86"/>
      <c r="D245" s="86"/>
    </row>
    <row r="246">
      <c r="B246" s="86"/>
      <c r="C246" s="86"/>
      <c r="D246" s="86"/>
    </row>
    <row r="247">
      <c r="B247" s="86"/>
      <c r="C247" s="86"/>
      <c r="D247" s="86"/>
    </row>
    <row r="248">
      <c r="B248" s="86"/>
      <c r="C248" s="86"/>
      <c r="D248" s="86"/>
    </row>
    <row r="249">
      <c r="B249" s="86"/>
      <c r="C249" s="86"/>
      <c r="D249" s="86"/>
    </row>
    <row r="250">
      <c r="B250" s="86"/>
      <c r="C250" s="86"/>
      <c r="D250" s="86"/>
    </row>
    <row r="251">
      <c r="B251" s="86"/>
      <c r="C251" s="86"/>
      <c r="D251" s="86"/>
    </row>
    <row r="252">
      <c r="B252" s="86"/>
      <c r="C252" s="86"/>
      <c r="D252" s="86"/>
    </row>
    <row r="253">
      <c r="B253" s="86"/>
      <c r="C253" s="86"/>
      <c r="D253" s="86"/>
    </row>
    <row r="254">
      <c r="B254" s="86"/>
      <c r="C254" s="86"/>
      <c r="D254" s="86"/>
    </row>
    <row r="255">
      <c r="B255" s="86"/>
      <c r="C255" s="86"/>
      <c r="D255" s="86"/>
    </row>
    <row r="256">
      <c r="B256" s="86"/>
      <c r="C256" s="86"/>
      <c r="D256" s="86"/>
    </row>
    <row r="257">
      <c r="B257" s="86"/>
      <c r="C257" s="86"/>
      <c r="D257" s="86"/>
    </row>
    <row r="258">
      <c r="B258" s="86"/>
      <c r="C258" s="86"/>
      <c r="D258" s="86"/>
    </row>
    <row r="259">
      <c r="B259" s="86"/>
      <c r="C259" s="86"/>
      <c r="D259" s="86"/>
    </row>
    <row r="260">
      <c r="B260" s="86"/>
      <c r="C260" s="86"/>
      <c r="D260" s="86"/>
    </row>
    <row r="261">
      <c r="B261" s="86"/>
      <c r="C261" s="86"/>
      <c r="D261" s="86"/>
    </row>
    <row r="262">
      <c r="B262" s="86"/>
      <c r="C262" s="86"/>
      <c r="D262" s="86"/>
    </row>
    <row r="263">
      <c r="B263" s="86"/>
      <c r="C263" s="86"/>
      <c r="D263" s="86"/>
    </row>
    <row r="264">
      <c r="B264" s="86"/>
      <c r="C264" s="86"/>
      <c r="D264" s="86"/>
    </row>
    <row r="265">
      <c r="B265" s="86"/>
      <c r="C265" s="86"/>
      <c r="D265" s="86"/>
    </row>
    <row r="266">
      <c r="B266" s="86"/>
      <c r="C266" s="86"/>
      <c r="D266" s="86"/>
    </row>
    <row r="267">
      <c r="B267" s="86"/>
      <c r="C267" s="86"/>
      <c r="D267" s="86"/>
    </row>
    <row r="268">
      <c r="B268" s="86"/>
      <c r="C268" s="86"/>
      <c r="D268" s="86"/>
    </row>
    <row r="269">
      <c r="B269" s="86"/>
      <c r="C269" s="86"/>
      <c r="D269" s="86"/>
    </row>
    <row r="270">
      <c r="B270" s="86"/>
      <c r="C270" s="86"/>
      <c r="D270" s="86"/>
    </row>
    <row r="271">
      <c r="B271" s="86"/>
      <c r="C271" s="86"/>
      <c r="D271" s="86"/>
    </row>
    <row r="272">
      <c r="B272" s="86"/>
      <c r="C272" s="86"/>
      <c r="D272" s="86"/>
    </row>
    <row r="273">
      <c r="B273" s="86"/>
      <c r="C273" s="86"/>
      <c r="D273" s="86"/>
    </row>
    <row r="274">
      <c r="B274" s="86"/>
      <c r="C274" s="86"/>
      <c r="D274" s="86"/>
    </row>
    <row r="275">
      <c r="B275" s="86"/>
      <c r="C275" s="86"/>
      <c r="D275" s="86"/>
    </row>
    <row r="276">
      <c r="B276" s="86"/>
      <c r="C276" s="86"/>
      <c r="D276" s="86"/>
    </row>
    <row r="277">
      <c r="B277" s="86"/>
      <c r="C277" s="86"/>
      <c r="D277" s="86"/>
    </row>
    <row r="278">
      <c r="B278" s="86"/>
      <c r="C278" s="86"/>
      <c r="D278" s="86"/>
    </row>
    <row r="279">
      <c r="B279" s="86"/>
      <c r="C279" s="86"/>
      <c r="D279" s="86"/>
    </row>
    <row r="280">
      <c r="B280" s="86"/>
      <c r="C280" s="86"/>
      <c r="D280" s="86"/>
    </row>
    <row r="281">
      <c r="B281" s="86"/>
      <c r="C281" s="86"/>
      <c r="D281" s="86"/>
    </row>
    <row r="282">
      <c r="B282" s="86"/>
      <c r="C282" s="86"/>
      <c r="D282" s="86"/>
    </row>
    <row r="283">
      <c r="B283" s="86"/>
      <c r="C283" s="86"/>
      <c r="D283" s="86"/>
    </row>
    <row r="284">
      <c r="B284" s="86"/>
      <c r="C284" s="86"/>
      <c r="D284" s="86"/>
    </row>
    <row r="285">
      <c r="B285" s="86"/>
      <c r="C285" s="86"/>
      <c r="D285" s="86"/>
    </row>
    <row r="286">
      <c r="B286" s="86"/>
      <c r="C286" s="86"/>
      <c r="D286" s="86"/>
    </row>
    <row r="287">
      <c r="B287" s="86"/>
      <c r="C287" s="86"/>
      <c r="D287" s="86"/>
    </row>
    <row r="288">
      <c r="B288" s="86"/>
      <c r="C288" s="86"/>
      <c r="D288" s="86"/>
    </row>
    <row r="289">
      <c r="B289" s="86"/>
      <c r="C289" s="86"/>
      <c r="D289" s="86"/>
    </row>
    <row r="290">
      <c r="B290" s="86"/>
      <c r="C290" s="86"/>
      <c r="D290" s="86"/>
    </row>
    <row r="291">
      <c r="B291" s="86"/>
      <c r="C291" s="86"/>
      <c r="D291" s="86"/>
    </row>
    <row r="292">
      <c r="B292" s="86"/>
      <c r="C292" s="86"/>
      <c r="D292" s="86"/>
    </row>
    <row r="293">
      <c r="B293" s="86"/>
      <c r="C293" s="86"/>
      <c r="D293" s="86"/>
    </row>
    <row r="294">
      <c r="B294" s="86"/>
      <c r="C294" s="86"/>
      <c r="D294" s="86"/>
    </row>
    <row r="295">
      <c r="B295" s="86"/>
      <c r="C295" s="86"/>
      <c r="D295" s="86"/>
    </row>
    <row r="296">
      <c r="B296" s="86"/>
      <c r="C296" s="86"/>
      <c r="D296" s="86"/>
    </row>
    <row r="297">
      <c r="B297" s="86"/>
      <c r="C297" s="86"/>
      <c r="D297" s="86"/>
    </row>
    <row r="298">
      <c r="B298" s="86"/>
      <c r="C298" s="86"/>
      <c r="D298" s="86"/>
    </row>
    <row r="299">
      <c r="B299" s="86"/>
      <c r="C299" s="86"/>
      <c r="D299" s="86"/>
    </row>
    <row r="300">
      <c r="B300" s="86"/>
      <c r="C300" s="86"/>
      <c r="D300" s="86"/>
    </row>
    <row r="301">
      <c r="B301" s="86"/>
      <c r="C301" s="86"/>
      <c r="D301" s="86"/>
    </row>
    <row r="302">
      <c r="B302" s="86"/>
      <c r="C302" s="86"/>
      <c r="D302" s="86"/>
    </row>
    <row r="303">
      <c r="B303" s="86"/>
      <c r="C303" s="86"/>
      <c r="D303" s="86"/>
    </row>
    <row r="304">
      <c r="B304" s="86"/>
      <c r="C304" s="86"/>
      <c r="D304" s="86"/>
    </row>
    <row r="305">
      <c r="B305" s="86"/>
      <c r="C305" s="86"/>
      <c r="D305" s="86"/>
    </row>
    <row r="306">
      <c r="B306" s="86"/>
      <c r="C306" s="86"/>
      <c r="D306" s="86"/>
    </row>
    <row r="307">
      <c r="B307" s="86"/>
      <c r="C307" s="86"/>
      <c r="D307" s="86"/>
    </row>
    <row r="308">
      <c r="B308" s="86"/>
      <c r="C308" s="86"/>
      <c r="D308" s="86"/>
    </row>
    <row r="309">
      <c r="B309" s="86"/>
      <c r="C309" s="86"/>
      <c r="D309" s="86"/>
    </row>
    <row r="310">
      <c r="B310" s="86"/>
      <c r="C310" s="86"/>
      <c r="D310" s="86"/>
    </row>
    <row r="311">
      <c r="B311" s="86"/>
      <c r="C311" s="86"/>
      <c r="D311" s="86"/>
    </row>
    <row r="312">
      <c r="B312" s="86"/>
      <c r="C312" s="86"/>
      <c r="D312" s="86"/>
    </row>
    <row r="313">
      <c r="B313" s="86"/>
      <c r="C313" s="86"/>
      <c r="D313" s="86"/>
    </row>
    <row r="314">
      <c r="B314" s="86"/>
      <c r="C314" s="86"/>
      <c r="D314" s="86"/>
    </row>
    <row r="315">
      <c r="B315" s="86"/>
      <c r="C315" s="86"/>
      <c r="D315" s="86"/>
    </row>
    <row r="316">
      <c r="B316" s="86"/>
      <c r="C316" s="86"/>
      <c r="D316" s="86"/>
    </row>
    <row r="317">
      <c r="B317" s="86"/>
      <c r="C317" s="86"/>
      <c r="D317" s="86"/>
    </row>
    <row r="318">
      <c r="B318" s="86"/>
      <c r="C318" s="86"/>
      <c r="D318" s="86"/>
    </row>
    <row r="319">
      <c r="B319" s="86"/>
      <c r="C319" s="86"/>
      <c r="D319" s="86"/>
    </row>
    <row r="320">
      <c r="B320" s="86"/>
      <c r="C320" s="86"/>
      <c r="D320" s="86"/>
    </row>
    <row r="321">
      <c r="B321" s="86"/>
      <c r="C321" s="86"/>
      <c r="D321" s="86"/>
    </row>
    <row r="322">
      <c r="B322" s="86"/>
      <c r="C322" s="86"/>
      <c r="D322" s="86"/>
    </row>
    <row r="323">
      <c r="B323" s="86"/>
      <c r="C323" s="86"/>
      <c r="D323" s="86"/>
    </row>
    <row r="324">
      <c r="B324" s="86"/>
      <c r="C324" s="86"/>
      <c r="D324" s="86"/>
    </row>
    <row r="325">
      <c r="B325" s="86"/>
      <c r="C325" s="86"/>
      <c r="D325" s="86"/>
    </row>
    <row r="326">
      <c r="B326" s="86"/>
      <c r="C326" s="86"/>
      <c r="D326" s="86"/>
    </row>
    <row r="327">
      <c r="B327" s="86"/>
      <c r="C327" s="86"/>
      <c r="D327" s="86"/>
    </row>
    <row r="328">
      <c r="B328" s="86"/>
      <c r="C328" s="86"/>
      <c r="D328" s="86"/>
    </row>
    <row r="329">
      <c r="B329" s="86"/>
      <c r="C329" s="86"/>
      <c r="D329" s="86"/>
    </row>
    <row r="330">
      <c r="B330" s="86"/>
      <c r="C330" s="86"/>
      <c r="D330" s="86"/>
    </row>
    <row r="331">
      <c r="B331" s="86"/>
      <c r="C331" s="86"/>
      <c r="D331" s="86"/>
    </row>
    <row r="332">
      <c r="B332" s="86"/>
      <c r="C332" s="86"/>
      <c r="D332" s="86"/>
    </row>
    <row r="333">
      <c r="B333" s="86"/>
      <c r="C333" s="86"/>
      <c r="D333" s="86"/>
    </row>
    <row r="334">
      <c r="B334" s="86"/>
      <c r="C334" s="86"/>
      <c r="D334" s="86"/>
    </row>
    <row r="335">
      <c r="B335" s="86"/>
      <c r="C335" s="86"/>
      <c r="D335" s="86"/>
    </row>
    <row r="336">
      <c r="B336" s="86"/>
      <c r="C336" s="86"/>
      <c r="D336" s="86"/>
    </row>
    <row r="337">
      <c r="B337" s="86"/>
      <c r="C337" s="86"/>
      <c r="D337" s="86"/>
    </row>
    <row r="338">
      <c r="B338" s="86"/>
      <c r="C338" s="86"/>
      <c r="D338" s="86"/>
    </row>
    <row r="339">
      <c r="B339" s="86"/>
      <c r="C339" s="86"/>
      <c r="D339" s="86"/>
    </row>
    <row r="340">
      <c r="B340" s="86"/>
      <c r="C340" s="86"/>
      <c r="D340" s="86"/>
    </row>
    <row r="341">
      <c r="B341" s="86"/>
      <c r="C341" s="86"/>
      <c r="D341" s="86"/>
    </row>
    <row r="342">
      <c r="B342" s="86"/>
      <c r="C342" s="86"/>
      <c r="D342" s="86"/>
    </row>
    <row r="343">
      <c r="B343" s="86"/>
      <c r="C343" s="86"/>
      <c r="D343" s="86"/>
    </row>
    <row r="344">
      <c r="B344" s="86"/>
      <c r="C344" s="86"/>
      <c r="D344" s="86"/>
    </row>
    <row r="345">
      <c r="B345" s="86"/>
      <c r="C345" s="86"/>
      <c r="D345" s="86"/>
    </row>
    <row r="346">
      <c r="B346" s="86"/>
      <c r="C346" s="86"/>
      <c r="D346" s="86"/>
    </row>
    <row r="347">
      <c r="B347" s="86"/>
      <c r="C347" s="86"/>
      <c r="D347" s="86"/>
    </row>
    <row r="348">
      <c r="B348" s="86"/>
      <c r="C348" s="86"/>
      <c r="D348" s="86"/>
    </row>
    <row r="349">
      <c r="B349" s="86"/>
      <c r="C349" s="86"/>
      <c r="D349" s="86"/>
    </row>
    <row r="350">
      <c r="B350" s="86"/>
      <c r="C350" s="86"/>
      <c r="D350" s="86"/>
    </row>
    <row r="351">
      <c r="B351" s="86"/>
      <c r="C351" s="86"/>
      <c r="D351" s="86"/>
    </row>
    <row r="352">
      <c r="B352" s="86"/>
      <c r="C352" s="86"/>
      <c r="D352" s="86"/>
    </row>
    <row r="353">
      <c r="B353" s="86"/>
      <c r="C353" s="86"/>
      <c r="D353" s="86"/>
    </row>
    <row r="354">
      <c r="B354" s="86"/>
      <c r="C354" s="86"/>
      <c r="D354" s="86"/>
    </row>
    <row r="355">
      <c r="B355" s="86"/>
      <c r="C355" s="86"/>
      <c r="D355" s="86"/>
    </row>
    <row r="356">
      <c r="B356" s="86"/>
      <c r="C356" s="86"/>
      <c r="D356" s="86"/>
    </row>
    <row r="357">
      <c r="B357" s="86"/>
      <c r="C357" s="86"/>
      <c r="D357" s="86"/>
    </row>
    <row r="358">
      <c r="B358" s="86"/>
      <c r="C358" s="86"/>
      <c r="D358" s="86"/>
    </row>
    <row r="359">
      <c r="B359" s="86"/>
      <c r="C359" s="86"/>
      <c r="D359" s="86"/>
    </row>
    <row r="360">
      <c r="B360" s="86"/>
      <c r="C360" s="86"/>
      <c r="D360" s="86"/>
    </row>
    <row r="361">
      <c r="B361" s="86"/>
      <c r="C361" s="86"/>
      <c r="D361" s="86"/>
    </row>
    <row r="362">
      <c r="B362" s="86"/>
      <c r="C362" s="86"/>
      <c r="D362" s="86"/>
    </row>
    <row r="363">
      <c r="B363" s="86"/>
      <c r="C363" s="86"/>
      <c r="D363" s="86"/>
    </row>
    <row r="364">
      <c r="B364" s="86"/>
      <c r="C364" s="86"/>
      <c r="D364" s="86"/>
    </row>
    <row r="365">
      <c r="B365" s="86"/>
      <c r="C365" s="86"/>
      <c r="D365" s="86"/>
    </row>
    <row r="366">
      <c r="B366" s="86"/>
      <c r="C366" s="86"/>
      <c r="D366" s="86"/>
    </row>
    <row r="367">
      <c r="B367" s="86"/>
      <c r="C367" s="86"/>
      <c r="D367" s="86"/>
    </row>
    <row r="368">
      <c r="B368" s="86"/>
      <c r="C368" s="86"/>
      <c r="D368" s="86"/>
    </row>
    <row r="369">
      <c r="B369" s="86"/>
      <c r="C369" s="86"/>
      <c r="D369" s="86"/>
    </row>
    <row r="370">
      <c r="B370" s="86"/>
      <c r="C370" s="86"/>
      <c r="D370" s="86"/>
    </row>
    <row r="371">
      <c r="B371" s="86"/>
      <c r="C371" s="86"/>
      <c r="D371" s="86"/>
    </row>
    <row r="372">
      <c r="B372" s="86"/>
      <c r="C372" s="86"/>
      <c r="D372" s="86"/>
    </row>
    <row r="373">
      <c r="B373" s="86"/>
      <c r="C373" s="86"/>
      <c r="D373" s="86"/>
    </row>
    <row r="374">
      <c r="B374" s="86"/>
      <c r="C374" s="86"/>
      <c r="D374" s="86"/>
    </row>
    <row r="375">
      <c r="B375" s="86"/>
      <c r="C375" s="86"/>
      <c r="D375" s="86"/>
    </row>
    <row r="376">
      <c r="B376" s="86"/>
      <c r="C376" s="86"/>
      <c r="D376" s="86"/>
    </row>
    <row r="377">
      <c r="B377" s="86"/>
      <c r="C377" s="86"/>
      <c r="D377" s="86"/>
    </row>
    <row r="378">
      <c r="B378" s="86"/>
      <c r="C378" s="86"/>
      <c r="D378" s="86"/>
    </row>
    <row r="379">
      <c r="B379" s="86"/>
      <c r="C379" s="86"/>
      <c r="D379" s="86"/>
    </row>
    <row r="380">
      <c r="B380" s="86"/>
      <c r="C380" s="86"/>
      <c r="D380" s="86"/>
    </row>
    <row r="381">
      <c r="B381" s="86"/>
      <c r="C381" s="86"/>
      <c r="D381" s="86"/>
    </row>
    <row r="382">
      <c r="B382" s="86"/>
      <c r="C382" s="86"/>
      <c r="D382" s="86"/>
    </row>
    <row r="383">
      <c r="B383" s="86"/>
      <c r="C383" s="86"/>
      <c r="D383" s="86"/>
    </row>
    <row r="384">
      <c r="B384" s="86"/>
      <c r="C384" s="86"/>
      <c r="D384" s="86"/>
    </row>
    <row r="385">
      <c r="B385" s="86"/>
      <c r="C385" s="86"/>
      <c r="D385" s="86"/>
    </row>
    <row r="386">
      <c r="B386" s="86"/>
      <c r="C386" s="86"/>
      <c r="D386" s="86"/>
    </row>
    <row r="387">
      <c r="B387" s="86"/>
      <c r="C387" s="86"/>
      <c r="D387" s="86"/>
    </row>
    <row r="388">
      <c r="B388" s="86"/>
      <c r="C388" s="86"/>
      <c r="D388" s="86"/>
    </row>
    <row r="389">
      <c r="B389" s="86"/>
      <c r="C389" s="86"/>
      <c r="D389" s="86"/>
    </row>
    <row r="390">
      <c r="B390" s="86"/>
      <c r="C390" s="86"/>
      <c r="D390" s="86"/>
    </row>
    <row r="391">
      <c r="B391" s="86"/>
      <c r="C391" s="86"/>
      <c r="D391" s="86"/>
    </row>
    <row r="392">
      <c r="B392" s="86"/>
      <c r="C392" s="86"/>
      <c r="D392" s="86"/>
    </row>
    <row r="393">
      <c r="B393" s="86"/>
      <c r="C393" s="86"/>
      <c r="D393" s="86"/>
    </row>
    <row r="394">
      <c r="B394" s="86"/>
      <c r="C394" s="86"/>
      <c r="D394" s="86"/>
    </row>
    <row r="395">
      <c r="B395" s="86"/>
      <c r="C395" s="86"/>
      <c r="D395" s="86"/>
    </row>
    <row r="396">
      <c r="B396" s="86"/>
      <c r="C396" s="86"/>
      <c r="D396" s="86"/>
    </row>
    <row r="397">
      <c r="B397" s="86"/>
      <c r="C397" s="86"/>
      <c r="D397" s="86"/>
    </row>
    <row r="398">
      <c r="B398" s="86"/>
      <c r="C398" s="86"/>
      <c r="D398" s="86"/>
    </row>
    <row r="399">
      <c r="B399" s="86"/>
      <c r="C399" s="86"/>
      <c r="D399" s="86"/>
    </row>
    <row r="400">
      <c r="B400" s="86"/>
      <c r="C400" s="86"/>
      <c r="D400" s="86"/>
    </row>
    <row r="401">
      <c r="B401" s="86"/>
      <c r="C401" s="86"/>
      <c r="D401" s="86"/>
    </row>
    <row r="402">
      <c r="B402" s="86"/>
      <c r="C402" s="86"/>
      <c r="D402" s="86"/>
    </row>
    <row r="403">
      <c r="B403" s="86"/>
      <c r="C403" s="86"/>
      <c r="D403" s="86"/>
    </row>
    <row r="404">
      <c r="B404" s="86"/>
      <c r="C404" s="86"/>
      <c r="D404" s="86"/>
    </row>
    <row r="405">
      <c r="B405" s="86"/>
      <c r="C405" s="86"/>
      <c r="D405" s="86"/>
    </row>
    <row r="406">
      <c r="B406" s="86"/>
      <c r="C406" s="86"/>
      <c r="D406" s="86"/>
    </row>
    <row r="407">
      <c r="B407" s="86"/>
      <c r="C407" s="86"/>
      <c r="D407" s="86"/>
    </row>
    <row r="408">
      <c r="B408" s="86"/>
      <c r="C408" s="86"/>
      <c r="D408" s="86"/>
    </row>
    <row r="409">
      <c r="B409" s="86"/>
      <c r="C409" s="86"/>
      <c r="D409" s="86"/>
    </row>
    <row r="410">
      <c r="B410" s="86"/>
      <c r="C410" s="86"/>
      <c r="D410" s="86"/>
    </row>
    <row r="411">
      <c r="B411" s="86"/>
      <c r="C411" s="86"/>
      <c r="D411" s="86"/>
    </row>
    <row r="412">
      <c r="B412" s="86"/>
      <c r="C412" s="86"/>
      <c r="D412" s="86"/>
    </row>
    <row r="413">
      <c r="B413" s="86"/>
      <c r="C413" s="86"/>
      <c r="D413" s="86"/>
    </row>
    <row r="414">
      <c r="B414" s="86"/>
      <c r="C414" s="86"/>
      <c r="D414" s="86"/>
    </row>
    <row r="415">
      <c r="B415" s="86"/>
      <c r="C415" s="86"/>
      <c r="D415" s="86"/>
    </row>
    <row r="416">
      <c r="B416" s="86"/>
      <c r="C416" s="86"/>
      <c r="D416" s="86"/>
    </row>
    <row r="417">
      <c r="B417" s="86"/>
      <c r="C417" s="86"/>
      <c r="D417" s="86"/>
    </row>
    <row r="418">
      <c r="B418" s="86"/>
      <c r="C418" s="86"/>
      <c r="D418" s="86"/>
    </row>
    <row r="419">
      <c r="B419" s="86"/>
      <c r="C419" s="86"/>
      <c r="D419" s="86"/>
    </row>
    <row r="420">
      <c r="B420" s="86"/>
      <c r="C420" s="86"/>
      <c r="D420" s="86"/>
    </row>
    <row r="421">
      <c r="B421" s="86"/>
      <c r="C421" s="86"/>
      <c r="D421" s="86"/>
    </row>
    <row r="422">
      <c r="B422" s="86"/>
      <c r="C422" s="86"/>
      <c r="D422" s="86"/>
    </row>
    <row r="423">
      <c r="B423" s="86"/>
      <c r="C423" s="86"/>
      <c r="D423" s="86"/>
    </row>
    <row r="424">
      <c r="B424" s="86"/>
      <c r="C424" s="86"/>
      <c r="D424" s="86"/>
    </row>
    <row r="425">
      <c r="B425" s="86"/>
      <c r="C425" s="86"/>
      <c r="D425" s="86"/>
    </row>
    <row r="426">
      <c r="B426" s="86"/>
      <c r="C426" s="86"/>
      <c r="D426" s="86"/>
    </row>
    <row r="427">
      <c r="B427" s="86"/>
      <c r="C427" s="86"/>
      <c r="D427" s="86"/>
    </row>
    <row r="428">
      <c r="B428" s="86"/>
      <c r="C428" s="86"/>
      <c r="D428" s="86"/>
    </row>
    <row r="429">
      <c r="B429" s="86"/>
      <c r="C429" s="86"/>
      <c r="D429" s="86"/>
    </row>
    <row r="430">
      <c r="B430" s="86"/>
      <c r="C430" s="86"/>
      <c r="D430" s="86"/>
    </row>
    <row r="431">
      <c r="B431" s="86"/>
      <c r="C431" s="86"/>
      <c r="D431" s="86"/>
    </row>
    <row r="432">
      <c r="B432" s="86"/>
      <c r="C432" s="86"/>
      <c r="D432" s="86"/>
    </row>
    <row r="433">
      <c r="B433" s="86"/>
      <c r="C433" s="86"/>
      <c r="D433" s="86"/>
    </row>
    <row r="434">
      <c r="B434" s="86"/>
      <c r="C434" s="86"/>
      <c r="D434" s="86"/>
    </row>
    <row r="435">
      <c r="B435" s="86"/>
      <c r="C435" s="86"/>
      <c r="D435" s="86"/>
    </row>
    <row r="436">
      <c r="B436" s="86"/>
      <c r="C436" s="86"/>
      <c r="D436" s="86"/>
    </row>
    <row r="437">
      <c r="B437" s="86"/>
      <c r="C437" s="86"/>
      <c r="D437" s="86"/>
    </row>
    <row r="438">
      <c r="B438" s="86"/>
      <c r="C438" s="86"/>
      <c r="D438" s="86"/>
    </row>
    <row r="439">
      <c r="B439" s="86"/>
      <c r="C439" s="86"/>
      <c r="D439" s="86"/>
    </row>
    <row r="440">
      <c r="B440" s="86"/>
      <c r="C440" s="86"/>
      <c r="D440" s="86"/>
    </row>
    <row r="441">
      <c r="B441" s="86"/>
      <c r="C441" s="86"/>
      <c r="D441" s="86"/>
    </row>
    <row r="442">
      <c r="B442" s="86"/>
      <c r="C442" s="86"/>
      <c r="D442" s="86"/>
    </row>
    <row r="443">
      <c r="B443" s="86"/>
      <c r="C443" s="86"/>
      <c r="D443" s="86"/>
    </row>
    <row r="444">
      <c r="B444" s="86"/>
      <c r="C444" s="86"/>
      <c r="D444" s="86"/>
    </row>
    <row r="445">
      <c r="B445" s="86"/>
      <c r="C445" s="86"/>
      <c r="D445" s="86"/>
    </row>
    <row r="446">
      <c r="B446" s="86"/>
      <c r="C446" s="86"/>
      <c r="D446" s="86"/>
    </row>
    <row r="447">
      <c r="B447" s="86"/>
      <c r="C447" s="86"/>
      <c r="D447" s="86"/>
    </row>
    <row r="448">
      <c r="B448" s="86"/>
      <c r="C448" s="86"/>
      <c r="D448" s="86"/>
    </row>
    <row r="449">
      <c r="B449" s="86"/>
      <c r="C449" s="86"/>
      <c r="D449" s="86"/>
    </row>
    <row r="450">
      <c r="B450" s="86"/>
      <c r="C450" s="86"/>
      <c r="D450" s="86"/>
    </row>
    <row r="451">
      <c r="B451" s="86"/>
      <c r="C451" s="86"/>
      <c r="D451" s="86"/>
    </row>
    <row r="452">
      <c r="B452" s="86"/>
      <c r="C452" s="86"/>
      <c r="D452" s="86"/>
    </row>
    <row r="453">
      <c r="B453" s="86"/>
      <c r="C453" s="86"/>
      <c r="D453" s="86"/>
    </row>
    <row r="454">
      <c r="B454" s="86"/>
      <c r="C454" s="86"/>
      <c r="D454" s="86"/>
    </row>
    <row r="455">
      <c r="B455" s="86"/>
      <c r="C455" s="86"/>
      <c r="D455" s="86"/>
    </row>
    <row r="456">
      <c r="B456" s="86"/>
      <c r="C456" s="86"/>
      <c r="D456" s="86"/>
    </row>
    <row r="457">
      <c r="B457" s="86"/>
      <c r="C457" s="86"/>
      <c r="D457" s="86"/>
    </row>
    <row r="458">
      <c r="B458" s="86"/>
      <c r="C458" s="86"/>
      <c r="D458" s="86"/>
    </row>
    <row r="459">
      <c r="B459" s="86"/>
      <c r="C459" s="86"/>
      <c r="D459" s="86"/>
    </row>
    <row r="460">
      <c r="B460" s="86"/>
      <c r="C460" s="86"/>
      <c r="D460" s="86"/>
    </row>
    <row r="461">
      <c r="B461" s="86"/>
      <c r="C461" s="86"/>
      <c r="D461" s="86"/>
    </row>
    <row r="462">
      <c r="B462" s="86"/>
      <c r="C462" s="86"/>
      <c r="D462" s="86"/>
    </row>
    <row r="463">
      <c r="B463" s="86"/>
      <c r="C463" s="86"/>
      <c r="D463" s="86"/>
    </row>
    <row r="464">
      <c r="B464" s="86"/>
      <c r="C464" s="86"/>
      <c r="D464" s="86"/>
    </row>
    <row r="465">
      <c r="B465" s="86"/>
      <c r="C465" s="86"/>
      <c r="D465" s="86"/>
    </row>
    <row r="466">
      <c r="B466" s="86"/>
      <c r="C466" s="86"/>
      <c r="D466" s="86"/>
    </row>
    <row r="467">
      <c r="B467" s="86"/>
      <c r="C467" s="86"/>
      <c r="D467" s="86"/>
    </row>
    <row r="468">
      <c r="B468" s="86"/>
      <c r="C468" s="86"/>
      <c r="D468" s="86"/>
    </row>
    <row r="469">
      <c r="B469" s="86"/>
      <c r="C469" s="86"/>
      <c r="D469" s="86"/>
    </row>
    <row r="470">
      <c r="B470" s="86"/>
      <c r="C470" s="86"/>
      <c r="D470" s="86"/>
    </row>
    <row r="471">
      <c r="B471" s="86"/>
      <c r="C471" s="86"/>
      <c r="D471" s="86"/>
    </row>
    <row r="472">
      <c r="B472" s="86"/>
      <c r="C472" s="86"/>
      <c r="D472" s="86"/>
    </row>
    <row r="473">
      <c r="B473" s="86"/>
      <c r="C473" s="86"/>
      <c r="D473" s="86"/>
    </row>
    <row r="474">
      <c r="B474" s="86"/>
      <c r="C474" s="86"/>
      <c r="D474" s="86"/>
    </row>
    <row r="475">
      <c r="B475" s="86"/>
      <c r="C475" s="86"/>
      <c r="D475" s="86"/>
    </row>
    <row r="476">
      <c r="B476" s="86"/>
      <c r="C476" s="86"/>
      <c r="D476" s="86"/>
    </row>
    <row r="477">
      <c r="B477" s="86"/>
      <c r="C477" s="86"/>
      <c r="D477" s="86"/>
    </row>
    <row r="478">
      <c r="B478" s="86"/>
      <c r="C478" s="86"/>
      <c r="D478" s="86"/>
    </row>
    <row r="479">
      <c r="B479" s="86"/>
      <c r="C479" s="86"/>
      <c r="D479" s="86"/>
    </row>
    <row r="480">
      <c r="B480" s="86"/>
      <c r="C480" s="86"/>
      <c r="D480" s="86"/>
    </row>
    <row r="481">
      <c r="B481" s="86"/>
      <c r="C481" s="86"/>
      <c r="D481" s="86"/>
    </row>
    <row r="482">
      <c r="B482" s="86"/>
      <c r="C482" s="86"/>
      <c r="D482" s="86"/>
    </row>
    <row r="483">
      <c r="B483" s="86"/>
      <c r="C483" s="86"/>
      <c r="D483" s="86"/>
    </row>
    <row r="484">
      <c r="B484" s="86"/>
      <c r="C484" s="86"/>
      <c r="D484" s="86"/>
    </row>
    <row r="485">
      <c r="B485" s="86"/>
      <c r="C485" s="86"/>
      <c r="D485" s="86"/>
    </row>
    <row r="486">
      <c r="B486" s="86"/>
      <c r="C486" s="86"/>
      <c r="D486" s="86"/>
    </row>
    <row r="487">
      <c r="B487" s="86"/>
      <c r="C487" s="86"/>
      <c r="D487" s="86"/>
    </row>
    <row r="488">
      <c r="B488" s="86"/>
      <c r="C488" s="86"/>
      <c r="D488" s="86"/>
    </row>
    <row r="489">
      <c r="B489" s="86"/>
      <c r="C489" s="86"/>
      <c r="D489" s="86"/>
    </row>
    <row r="490">
      <c r="B490" s="86"/>
      <c r="C490" s="86"/>
      <c r="D490" s="86"/>
    </row>
    <row r="491">
      <c r="B491" s="86"/>
      <c r="C491" s="86"/>
      <c r="D491" s="86"/>
    </row>
    <row r="492">
      <c r="B492" s="86"/>
      <c r="C492" s="86"/>
      <c r="D492" s="86"/>
    </row>
    <row r="493">
      <c r="B493" s="86"/>
      <c r="C493" s="86"/>
      <c r="D493" s="86"/>
    </row>
    <row r="494">
      <c r="B494" s="86"/>
      <c r="C494" s="86"/>
      <c r="D494" s="86"/>
    </row>
    <row r="495">
      <c r="B495" s="86"/>
      <c r="C495" s="86"/>
      <c r="D495" s="86"/>
    </row>
    <row r="496">
      <c r="B496" s="86"/>
      <c r="C496" s="86"/>
      <c r="D496" s="86"/>
    </row>
    <row r="497">
      <c r="B497" s="86"/>
      <c r="C497" s="86"/>
      <c r="D497" s="86"/>
    </row>
    <row r="498">
      <c r="B498" s="86"/>
      <c r="C498" s="86"/>
      <c r="D498" s="86"/>
    </row>
    <row r="499">
      <c r="B499" s="86"/>
      <c r="C499" s="86"/>
      <c r="D499" s="86"/>
    </row>
    <row r="500">
      <c r="B500" s="86"/>
      <c r="C500" s="86"/>
      <c r="D500" s="86"/>
    </row>
    <row r="501">
      <c r="B501" s="86"/>
      <c r="C501" s="86"/>
      <c r="D501" s="86"/>
    </row>
    <row r="502">
      <c r="B502" s="86"/>
      <c r="C502" s="86"/>
      <c r="D502" s="86"/>
    </row>
    <row r="503">
      <c r="B503" s="86"/>
      <c r="C503" s="86"/>
      <c r="D503" s="86"/>
    </row>
    <row r="504">
      <c r="B504" s="86"/>
      <c r="C504" s="86"/>
      <c r="D504" s="86"/>
    </row>
    <row r="505">
      <c r="B505" s="86"/>
      <c r="C505" s="86"/>
      <c r="D505" s="86"/>
    </row>
    <row r="506">
      <c r="B506" s="86"/>
      <c r="C506" s="86"/>
      <c r="D506" s="86"/>
    </row>
    <row r="507">
      <c r="B507" s="86"/>
      <c r="C507" s="86"/>
      <c r="D507" s="86"/>
    </row>
    <row r="508">
      <c r="B508" s="86"/>
      <c r="C508" s="86"/>
      <c r="D508" s="86"/>
    </row>
    <row r="509">
      <c r="B509" s="86"/>
      <c r="C509" s="86"/>
      <c r="D509" s="86"/>
    </row>
    <row r="510">
      <c r="B510" s="86"/>
      <c r="C510" s="86"/>
      <c r="D510" s="86"/>
    </row>
    <row r="511">
      <c r="B511" s="86"/>
      <c r="C511" s="86"/>
      <c r="D511" s="86"/>
    </row>
    <row r="512">
      <c r="B512" s="86"/>
      <c r="C512" s="86"/>
      <c r="D512" s="86"/>
    </row>
    <row r="513">
      <c r="B513" s="86"/>
      <c r="C513" s="86"/>
      <c r="D513" s="86"/>
    </row>
    <row r="514">
      <c r="B514" s="86"/>
      <c r="C514" s="86"/>
      <c r="D514" s="86"/>
    </row>
    <row r="515">
      <c r="B515" s="86"/>
      <c r="C515" s="86"/>
      <c r="D515" s="86"/>
    </row>
    <row r="516">
      <c r="B516" s="86"/>
      <c r="C516" s="86"/>
      <c r="D516" s="86"/>
    </row>
    <row r="517">
      <c r="B517" s="86"/>
      <c r="C517" s="86"/>
      <c r="D517" s="86"/>
    </row>
    <row r="518">
      <c r="B518" s="86"/>
      <c r="C518" s="86"/>
      <c r="D518" s="86"/>
    </row>
    <row r="519">
      <c r="B519" s="86"/>
      <c r="C519" s="86"/>
      <c r="D519" s="86"/>
    </row>
    <row r="520">
      <c r="B520" s="86"/>
      <c r="C520" s="86"/>
      <c r="D520" s="86"/>
    </row>
    <row r="521">
      <c r="B521" s="86"/>
      <c r="C521" s="86"/>
      <c r="D521" s="86"/>
    </row>
    <row r="522">
      <c r="B522" s="86"/>
      <c r="C522" s="86"/>
      <c r="D522" s="86"/>
    </row>
    <row r="523">
      <c r="B523" s="86"/>
      <c r="C523" s="86"/>
      <c r="D523" s="86"/>
    </row>
    <row r="524">
      <c r="B524" s="86"/>
      <c r="C524" s="86"/>
      <c r="D524" s="86"/>
    </row>
    <row r="525">
      <c r="B525" s="86"/>
      <c r="C525" s="86"/>
      <c r="D525" s="86"/>
    </row>
    <row r="526">
      <c r="B526" s="86"/>
      <c r="C526" s="86"/>
      <c r="D526" s="86"/>
    </row>
    <row r="527">
      <c r="B527" s="86"/>
      <c r="C527" s="86"/>
      <c r="D527" s="86"/>
    </row>
    <row r="528">
      <c r="B528" s="86"/>
      <c r="C528" s="86"/>
      <c r="D528" s="86"/>
    </row>
    <row r="529">
      <c r="B529" s="86"/>
      <c r="C529" s="86"/>
      <c r="D529" s="86"/>
    </row>
    <row r="530">
      <c r="B530" s="86"/>
      <c r="C530" s="86"/>
      <c r="D530" s="86"/>
    </row>
    <row r="531">
      <c r="B531" s="86"/>
      <c r="C531" s="86"/>
      <c r="D531" s="86"/>
    </row>
    <row r="532">
      <c r="B532" s="86"/>
      <c r="C532" s="86"/>
      <c r="D532" s="86"/>
    </row>
    <row r="533">
      <c r="B533" s="86"/>
      <c r="C533" s="86"/>
      <c r="D533" s="86"/>
    </row>
    <row r="534">
      <c r="B534" s="86"/>
      <c r="C534" s="86"/>
      <c r="D534" s="86"/>
    </row>
    <row r="535">
      <c r="B535" s="86"/>
      <c r="C535" s="86"/>
      <c r="D535" s="86"/>
    </row>
    <row r="536">
      <c r="B536" s="86"/>
      <c r="C536" s="86"/>
      <c r="D536" s="86"/>
    </row>
    <row r="537">
      <c r="B537" s="86"/>
      <c r="C537" s="86"/>
      <c r="D537" s="86"/>
    </row>
    <row r="538">
      <c r="B538" s="86"/>
      <c r="C538" s="86"/>
      <c r="D538" s="86"/>
    </row>
    <row r="539">
      <c r="B539" s="86"/>
      <c r="C539" s="86"/>
      <c r="D539" s="86"/>
    </row>
    <row r="540">
      <c r="B540" s="86"/>
      <c r="C540" s="86"/>
      <c r="D540" s="86"/>
    </row>
    <row r="541">
      <c r="B541" s="86"/>
      <c r="C541" s="86"/>
      <c r="D541" s="86"/>
    </row>
    <row r="542">
      <c r="B542" s="86"/>
      <c r="C542" s="86"/>
      <c r="D542" s="86"/>
    </row>
    <row r="543">
      <c r="B543" s="86"/>
      <c r="C543" s="86"/>
      <c r="D543" s="86"/>
    </row>
    <row r="544">
      <c r="B544" s="86"/>
      <c r="C544" s="86"/>
      <c r="D544" s="86"/>
    </row>
    <row r="545">
      <c r="B545" s="86"/>
      <c r="C545" s="86"/>
      <c r="D545" s="86"/>
    </row>
    <row r="546">
      <c r="B546" s="86"/>
      <c r="C546" s="86"/>
      <c r="D546" s="86"/>
    </row>
    <row r="547">
      <c r="B547" s="86"/>
      <c r="C547" s="86"/>
      <c r="D547" s="86"/>
    </row>
    <row r="548">
      <c r="B548" s="86"/>
      <c r="C548" s="86"/>
      <c r="D548" s="86"/>
    </row>
    <row r="549">
      <c r="B549" s="86"/>
      <c r="C549" s="86"/>
      <c r="D549" s="86"/>
    </row>
    <row r="550">
      <c r="B550" s="86"/>
      <c r="C550" s="86"/>
      <c r="D550" s="86"/>
    </row>
    <row r="551">
      <c r="B551" s="86"/>
      <c r="C551" s="86"/>
      <c r="D551" s="86"/>
    </row>
    <row r="552">
      <c r="B552" s="86"/>
      <c r="C552" s="86"/>
      <c r="D552" s="86"/>
    </row>
    <row r="553">
      <c r="B553" s="86"/>
      <c r="C553" s="86"/>
      <c r="D553" s="86"/>
    </row>
    <row r="554">
      <c r="B554" s="86"/>
      <c r="C554" s="86"/>
      <c r="D554" s="86"/>
    </row>
    <row r="555">
      <c r="B555" s="86"/>
      <c r="C555" s="86"/>
      <c r="D555" s="86"/>
    </row>
    <row r="556">
      <c r="B556" s="86"/>
      <c r="C556" s="86"/>
      <c r="D556" s="86"/>
    </row>
    <row r="557">
      <c r="B557" s="86"/>
      <c r="C557" s="86"/>
      <c r="D557" s="86"/>
    </row>
    <row r="558">
      <c r="B558" s="86"/>
      <c r="C558" s="86"/>
      <c r="D558" s="86"/>
    </row>
    <row r="559">
      <c r="B559" s="86"/>
      <c r="C559" s="86"/>
      <c r="D559" s="86"/>
    </row>
    <row r="560">
      <c r="B560" s="86"/>
      <c r="C560" s="86"/>
      <c r="D560" s="86"/>
    </row>
    <row r="561">
      <c r="B561" s="86"/>
      <c r="C561" s="86"/>
      <c r="D561" s="86"/>
    </row>
    <row r="562">
      <c r="B562" s="86"/>
      <c r="C562" s="86"/>
      <c r="D562" s="86"/>
    </row>
    <row r="563">
      <c r="B563" s="86"/>
      <c r="C563" s="86"/>
      <c r="D563" s="86"/>
    </row>
    <row r="564">
      <c r="B564" s="86"/>
      <c r="C564" s="86"/>
      <c r="D564" s="86"/>
    </row>
    <row r="565">
      <c r="B565" s="86"/>
      <c r="C565" s="86"/>
      <c r="D565" s="86"/>
    </row>
    <row r="566">
      <c r="B566" s="86"/>
      <c r="C566" s="86"/>
      <c r="D566" s="86"/>
    </row>
    <row r="567">
      <c r="B567" s="86"/>
      <c r="C567" s="86"/>
      <c r="D567" s="86"/>
    </row>
    <row r="568">
      <c r="B568" s="86"/>
      <c r="C568" s="86"/>
      <c r="D568" s="86"/>
    </row>
    <row r="569">
      <c r="B569" s="86"/>
      <c r="C569" s="86"/>
      <c r="D569" s="86"/>
    </row>
    <row r="570">
      <c r="B570" s="86"/>
      <c r="C570" s="86"/>
      <c r="D570" s="86"/>
    </row>
    <row r="571">
      <c r="B571" s="86"/>
      <c r="C571" s="86"/>
      <c r="D571" s="86"/>
    </row>
    <row r="572">
      <c r="B572" s="86"/>
      <c r="C572" s="86"/>
      <c r="D572" s="86"/>
    </row>
    <row r="573">
      <c r="B573" s="86"/>
      <c r="C573" s="86"/>
      <c r="D573" s="86"/>
    </row>
    <row r="574">
      <c r="B574" s="86"/>
      <c r="C574" s="86"/>
      <c r="D574" s="86"/>
    </row>
    <row r="575">
      <c r="B575" s="86"/>
      <c r="C575" s="86"/>
      <c r="D575" s="86"/>
    </row>
    <row r="576">
      <c r="B576" s="86"/>
      <c r="C576" s="86"/>
      <c r="D576" s="86"/>
    </row>
    <row r="577">
      <c r="B577" s="86"/>
      <c r="C577" s="86"/>
      <c r="D577" s="86"/>
    </row>
    <row r="578">
      <c r="B578" s="86"/>
      <c r="C578" s="86"/>
      <c r="D578" s="86"/>
    </row>
    <row r="579">
      <c r="B579" s="86"/>
      <c r="C579" s="86"/>
      <c r="D579" s="86"/>
    </row>
    <row r="580">
      <c r="B580" s="86"/>
      <c r="C580" s="86"/>
      <c r="D580" s="86"/>
    </row>
    <row r="581">
      <c r="B581" s="86"/>
      <c r="C581" s="86"/>
      <c r="D581" s="86"/>
    </row>
    <row r="582">
      <c r="B582" s="86"/>
      <c r="C582" s="86"/>
      <c r="D582" s="86"/>
    </row>
    <row r="583">
      <c r="B583" s="86"/>
      <c r="C583" s="86"/>
      <c r="D583" s="86"/>
    </row>
    <row r="584">
      <c r="B584" s="86"/>
      <c r="C584" s="86"/>
      <c r="D584" s="86"/>
    </row>
    <row r="585">
      <c r="B585" s="86"/>
      <c r="C585" s="86"/>
      <c r="D585" s="86"/>
    </row>
    <row r="586">
      <c r="B586" s="86"/>
      <c r="C586" s="86"/>
      <c r="D586" s="86"/>
    </row>
    <row r="587">
      <c r="B587" s="86"/>
      <c r="C587" s="86"/>
      <c r="D587" s="86"/>
    </row>
    <row r="588">
      <c r="B588" s="86"/>
      <c r="C588" s="86"/>
      <c r="D588" s="86"/>
    </row>
    <row r="589">
      <c r="B589" s="86"/>
      <c r="C589" s="86"/>
      <c r="D589" s="86"/>
    </row>
    <row r="590">
      <c r="B590" s="86"/>
      <c r="C590" s="86"/>
      <c r="D590" s="86"/>
    </row>
    <row r="591">
      <c r="B591" s="86"/>
      <c r="C591" s="86"/>
      <c r="D591" s="86"/>
    </row>
    <row r="592">
      <c r="B592" s="86"/>
      <c r="C592" s="86"/>
      <c r="D592" s="86"/>
    </row>
    <row r="593">
      <c r="B593" s="86"/>
      <c r="C593" s="86"/>
      <c r="D593" s="86"/>
    </row>
    <row r="594">
      <c r="B594" s="86"/>
      <c r="C594" s="86"/>
      <c r="D594" s="86"/>
    </row>
    <row r="595">
      <c r="B595" s="86"/>
      <c r="C595" s="86"/>
      <c r="D595" s="86"/>
    </row>
    <row r="596">
      <c r="B596" s="86"/>
      <c r="C596" s="86"/>
      <c r="D596" s="86"/>
    </row>
    <row r="597">
      <c r="B597" s="86"/>
      <c r="C597" s="86"/>
      <c r="D597" s="86"/>
    </row>
    <row r="598">
      <c r="B598" s="86"/>
      <c r="C598" s="86"/>
      <c r="D598" s="86"/>
    </row>
    <row r="599">
      <c r="B599" s="86"/>
      <c r="C599" s="86"/>
      <c r="D599" s="86"/>
    </row>
    <row r="600">
      <c r="B600" s="86"/>
      <c r="C600" s="86"/>
      <c r="D600" s="86"/>
    </row>
    <row r="601">
      <c r="B601" s="86"/>
      <c r="C601" s="86"/>
      <c r="D601" s="86"/>
    </row>
    <row r="602">
      <c r="B602" s="86"/>
      <c r="C602" s="86"/>
      <c r="D602" s="86"/>
    </row>
    <row r="603">
      <c r="B603" s="86"/>
      <c r="C603" s="86"/>
      <c r="D603" s="86"/>
    </row>
    <row r="604">
      <c r="B604" s="86"/>
      <c r="C604" s="86"/>
      <c r="D604" s="86"/>
    </row>
    <row r="605">
      <c r="B605" s="86"/>
      <c r="C605" s="86"/>
      <c r="D605" s="86"/>
    </row>
    <row r="606">
      <c r="B606" s="86"/>
      <c r="C606" s="86"/>
      <c r="D606" s="86"/>
    </row>
    <row r="607">
      <c r="B607" s="86"/>
      <c r="C607" s="86"/>
      <c r="D607" s="86"/>
    </row>
    <row r="608">
      <c r="B608" s="86"/>
      <c r="C608" s="86"/>
      <c r="D608" s="86"/>
    </row>
    <row r="609">
      <c r="B609" s="86"/>
      <c r="C609" s="86"/>
      <c r="D609" s="86"/>
    </row>
    <row r="610">
      <c r="B610" s="86"/>
      <c r="C610" s="86"/>
      <c r="D610" s="86"/>
    </row>
    <row r="611">
      <c r="B611" s="86"/>
      <c r="C611" s="86"/>
      <c r="D611" s="86"/>
    </row>
    <row r="612">
      <c r="B612" s="86"/>
      <c r="C612" s="86"/>
      <c r="D612" s="86"/>
    </row>
    <row r="613">
      <c r="B613" s="86"/>
      <c r="C613" s="86"/>
      <c r="D613" s="86"/>
    </row>
    <row r="614">
      <c r="B614" s="86"/>
      <c r="C614" s="86"/>
      <c r="D614" s="86"/>
    </row>
    <row r="615">
      <c r="B615" s="86"/>
      <c r="C615" s="86"/>
      <c r="D615" s="86"/>
    </row>
    <row r="616">
      <c r="B616" s="86"/>
      <c r="C616" s="86"/>
      <c r="D616" s="86"/>
    </row>
    <row r="617">
      <c r="B617" s="86"/>
      <c r="C617" s="86"/>
      <c r="D617" s="86"/>
    </row>
    <row r="618">
      <c r="B618" s="86"/>
      <c r="C618" s="86"/>
      <c r="D618" s="86"/>
    </row>
    <row r="619">
      <c r="B619" s="86"/>
      <c r="C619" s="86"/>
      <c r="D619" s="86"/>
    </row>
    <row r="620">
      <c r="B620" s="86"/>
      <c r="C620" s="86"/>
      <c r="D620" s="86"/>
    </row>
    <row r="621">
      <c r="B621" s="86"/>
      <c r="C621" s="86"/>
      <c r="D621" s="86"/>
    </row>
    <row r="622">
      <c r="B622" s="86"/>
      <c r="C622" s="86"/>
      <c r="D622" s="86"/>
    </row>
    <row r="623">
      <c r="B623" s="86"/>
      <c r="C623" s="86"/>
      <c r="D623" s="86"/>
    </row>
    <row r="624">
      <c r="B624" s="86"/>
      <c r="C624" s="86"/>
      <c r="D624" s="86"/>
    </row>
    <row r="625">
      <c r="B625" s="86"/>
      <c r="C625" s="86"/>
      <c r="D625" s="86"/>
    </row>
    <row r="626">
      <c r="B626" s="86"/>
      <c r="C626" s="86"/>
      <c r="D626" s="86"/>
    </row>
    <row r="627">
      <c r="B627" s="86"/>
      <c r="C627" s="86"/>
      <c r="D627" s="86"/>
    </row>
    <row r="628">
      <c r="B628" s="86"/>
      <c r="C628" s="86"/>
      <c r="D628" s="86"/>
    </row>
    <row r="629">
      <c r="B629" s="86"/>
      <c r="C629" s="86"/>
      <c r="D629" s="86"/>
    </row>
    <row r="630">
      <c r="B630" s="86"/>
      <c r="C630" s="86"/>
      <c r="D630" s="86"/>
    </row>
    <row r="631">
      <c r="B631" s="86"/>
      <c r="C631" s="86"/>
      <c r="D631" s="86"/>
    </row>
    <row r="632">
      <c r="B632" s="86"/>
      <c r="C632" s="86"/>
      <c r="D632" s="86"/>
    </row>
    <row r="633">
      <c r="B633" s="86"/>
      <c r="C633" s="86"/>
      <c r="D633" s="86"/>
    </row>
    <row r="634">
      <c r="B634" s="86"/>
      <c r="C634" s="86"/>
      <c r="D634" s="86"/>
    </row>
    <row r="635">
      <c r="B635" s="86"/>
      <c r="C635" s="86"/>
      <c r="D635" s="86"/>
    </row>
    <row r="636">
      <c r="B636" s="86"/>
      <c r="C636" s="86"/>
      <c r="D636" s="86"/>
    </row>
    <row r="637">
      <c r="B637" s="86"/>
      <c r="C637" s="86"/>
      <c r="D637" s="86"/>
    </row>
    <row r="638">
      <c r="B638" s="86"/>
      <c r="C638" s="86"/>
      <c r="D638" s="86"/>
    </row>
    <row r="639">
      <c r="B639" s="86"/>
      <c r="C639" s="86"/>
      <c r="D639" s="86"/>
    </row>
    <row r="640">
      <c r="B640" s="86"/>
      <c r="C640" s="86"/>
      <c r="D640" s="86"/>
    </row>
    <row r="641">
      <c r="B641" s="86"/>
      <c r="C641" s="86"/>
      <c r="D641" s="86"/>
    </row>
    <row r="642">
      <c r="B642" s="86"/>
      <c r="C642" s="86"/>
      <c r="D642" s="86"/>
    </row>
    <row r="643">
      <c r="B643" s="86"/>
      <c r="C643" s="86"/>
      <c r="D643" s="86"/>
    </row>
    <row r="644">
      <c r="B644" s="86"/>
      <c r="C644" s="86"/>
      <c r="D644" s="86"/>
    </row>
    <row r="645">
      <c r="B645" s="86"/>
      <c r="C645" s="86"/>
      <c r="D645" s="86"/>
    </row>
    <row r="646">
      <c r="B646" s="86"/>
      <c r="C646" s="86"/>
      <c r="D646" s="86"/>
    </row>
    <row r="647">
      <c r="B647" s="86"/>
      <c r="C647" s="86"/>
      <c r="D647" s="86"/>
    </row>
    <row r="648">
      <c r="B648" s="86"/>
      <c r="C648" s="86"/>
      <c r="D648" s="86"/>
    </row>
    <row r="649">
      <c r="B649" s="86"/>
      <c r="C649" s="86"/>
      <c r="D649" s="86"/>
    </row>
    <row r="650">
      <c r="B650" s="86"/>
      <c r="C650" s="86"/>
      <c r="D650" s="86"/>
    </row>
    <row r="651">
      <c r="B651" s="86"/>
      <c r="C651" s="86"/>
      <c r="D651" s="86"/>
    </row>
    <row r="652">
      <c r="B652" s="86"/>
      <c r="C652" s="86"/>
      <c r="D652" s="86"/>
    </row>
    <row r="653">
      <c r="B653" s="86"/>
      <c r="C653" s="86"/>
      <c r="D653" s="86"/>
    </row>
    <row r="654">
      <c r="B654" s="86"/>
      <c r="C654" s="86"/>
      <c r="D654" s="86"/>
    </row>
    <row r="655">
      <c r="B655" s="86"/>
      <c r="C655" s="86"/>
      <c r="D655" s="86"/>
    </row>
    <row r="656">
      <c r="B656" s="86"/>
      <c r="C656" s="86"/>
      <c r="D656" s="86"/>
    </row>
    <row r="657">
      <c r="B657" s="86"/>
      <c r="C657" s="86"/>
      <c r="D657" s="86"/>
    </row>
    <row r="658">
      <c r="B658" s="86"/>
      <c r="C658" s="86"/>
      <c r="D658" s="86"/>
    </row>
    <row r="659">
      <c r="B659" s="86"/>
      <c r="C659" s="86"/>
      <c r="D659" s="86"/>
    </row>
    <row r="660">
      <c r="B660" s="86"/>
      <c r="C660" s="86"/>
      <c r="D660" s="86"/>
    </row>
    <row r="661">
      <c r="B661" s="86"/>
      <c r="C661" s="86"/>
      <c r="D661" s="86"/>
    </row>
    <row r="662">
      <c r="B662" s="86"/>
      <c r="C662" s="86"/>
      <c r="D662" s="86"/>
    </row>
    <row r="663">
      <c r="B663" s="86"/>
      <c r="C663" s="86"/>
      <c r="D663" s="86"/>
    </row>
    <row r="664">
      <c r="B664" s="86"/>
      <c r="C664" s="86"/>
      <c r="D664" s="86"/>
    </row>
    <row r="665">
      <c r="B665" s="86"/>
      <c r="C665" s="86"/>
      <c r="D665" s="86"/>
    </row>
    <row r="666">
      <c r="B666" s="86"/>
      <c r="C666" s="86"/>
      <c r="D666" s="86"/>
    </row>
    <row r="667">
      <c r="B667" s="86"/>
      <c r="C667" s="86"/>
      <c r="D667" s="86"/>
    </row>
    <row r="668">
      <c r="B668" s="86"/>
      <c r="C668" s="86"/>
      <c r="D668" s="86"/>
    </row>
    <row r="669">
      <c r="B669" s="86"/>
      <c r="C669" s="86"/>
      <c r="D669" s="86"/>
    </row>
    <row r="670">
      <c r="B670" s="86"/>
      <c r="C670" s="86"/>
      <c r="D670" s="86"/>
    </row>
    <row r="671">
      <c r="B671" s="86"/>
      <c r="C671" s="86"/>
      <c r="D671" s="86"/>
    </row>
    <row r="672">
      <c r="B672" s="86"/>
      <c r="C672" s="86"/>
      <c r="D672" s="86"/>
    </row>
    <row r="673">
      <c r="B673" s="86"/>
      <c r="C673" s="86"/>
      <c r="D673" s="86"/>
    </row>
    <row r="674">
      <c r="B674" s="86"/>
      <c r="C674" s="86"/>
      <c r="D674" s="86"/>
    </row>
    <row r="675">
      <c r="B675" s="86"/>
      <c r="C675" s="86"/>
      <c r="D675" s="86"/>
    </row>
    <row r="676">
      <c r="B676" s="86"/>
      <c r="C676" s="86"/>
      <c r="D676" s="86"/>
    </row>
    <row r="677">
      <c r="B677" s="86"/>
      <c r="C677" s="86"/>
      <c r="D677" s="86"/>
    </row>
    <row r="678">
      <c r="B678" s="86"/>
      <c r="C678" s="86"/>
      <c r="D678" s="86"/>
    </row>
    <row r="679">
      <c r="B679" s="86"/>
      <c r="C679" s="86"/>
      <c r="D679" s="86"/>
    </row>
    <row r="680">
      <c r="B680" s="86"/>
      <c r="C680" s="86"/>
      <c r="D680" s="86"/>
    </row>
    <row r="681">
      <c r="B681" s="86"/>
      <c r="C681" s="86"/>
      <c r="D681" s="86"/>
    </row>
    <row r="682">
      <c r="B682" s="86"/>
      <c r="C682" s="86"/>
      <c r="D682" s="86"/>
    </row>
    <row r="683">
      <c r="B683" s="86"/>
      <c r="C683" s="86"/>
      <c r="D683" s="86"/>
    </row>
    <row r="684">
      <c r="B684" s="86"/>
      <c r="C684" s="86"/>
      <c r="D684" s="86"/>
    </row>
    <row r="685">
      <c r="B685" s="86"/>
      <c r="C685" s="86"/>
      <c r="D685" s="86"/>
    </row>
    <row r="686">
      <c r="B686" s="86"/>
      <c r="C686" s="86"/>
      <c r="D686" s="86"/>
    </row>
    <row r="687">
      <c r="B687" s="86"/>
      <c r="C687" s="86"/>
      <c r="D687" s="86"/>
    </row>
    <row r="688">
      <c r="B688" s="86"/>
      <c r="C688" s="86"/>
      <c r="D688" s="86"/>
    </row>
    <row r="689">
      <c r="B689" s="86"/>
      <c r="C689" s="86"/>
      <c r="D689" s="86"/>
    </row>
    <row r="690">
      <c r="B690" s="86"/>
      <c r="C690" s="86"/>
      <c r="D690" s="86"/>
    </row>
    <row r="691">
      <c r="B691" s="86"/>
      <c r="C691" s="86"/>
      <c r="D691" s="86"/>
    </row>
    <row r="692">
      <c r="B692" s="86"/>
      <c r="C692" s="86"/>
      <c r="D692" s="86"/>
    </row>
    <row r="693">
      <c r="B693" s="86"/>
      <c r="C693" s="86"/>
      <c r="D693" s="86"/>
    </row>
    <row r="694">
      <c r="B694" s="86"/>
      <c r="C694" s="86"/>
      <c r="D694" s="86"/>
    </row>
    <row r="695">
      <c r="B695" s="86"/>
      <c r="C695" s="86"/>
      <c r="D695" s="86"/>
    </row>
    <row r="696">
      <c r="B696" s="86"/>
      <c r="C696" s="86"/>
      <c r="D696" s="86"/>
    </row>
    <row r="697">
      <c r="B697" s="86"/>
      <c r="C697" s="86"/>
      <c r="D697" s="86"/>
    </row>
    <row r="698">
      <c r="B698" s="86"/>
      <c r="C698" s="86"/>
      <c r="D698" s="86"/>
    </row>
    <row r="699">
      <c r="B699" s="86"/>
      <c r="C699" s="86"/>
      <c r="D699" s="86"/>
    </row>
    <row r="700">
      <c r="B700" s="86"/>
      <c r="C700" s="86"/>
      <c r="D700" s="86"/>
    </row>
    <row r="701">
      <c r="B701" s="86"/>
      <c r="C701" s="86"/>
      <c r="D701" s="86"/>
    </row>
    <row r="702">
      <c r="B702" s="86"/>
      <c r="C702" s="86"/>
      <c r="D702" s="86"/>
    </row>
    <row r="703">
      <c r="B703" s="86"/>
      <c r="C703" s="86"/>
      <c r="D703" s="86"/>
    </row>
    <row r="704">
      <c r="B704" s="86"/>
      <c r="C704" s="86"/>
      <c r="D704" s="86"/>
    </row>
    <row r="705">
      <c r="B705" s="86"/>
      <c r="C705" s="86"/>
      <c r="D705" s="86"/>
    </row>
    <row r="706">
      <c r="B706" s="86"/>
      <c r="C706" s="86"/>
      <c r="D706" s="86"/>
    </row>
    <row r="707">
      <c r="B707" s="86"/>
      <c r="C707" s="86"/>
      <c r="D707" s="86"/>
    </row>
    <row r="708">
      <c r="B708" s="86"/>
      <c r="C708" s="86"/>
      <c r="D708" s="86"/>
    </row>
    <row r="709">
      <c r="B709" s="86"/>
      <c r="C709" s="86"/>
      <c r="D709" s="86"/>
    </row>
    <row r="710">
      <c r="B710" s="86"/>
      <c r="C710" s="86"/>
      <c r="D710" s="86"/>
    </row>
    <row r="711">
      <c r="B711" s="86"/>
      <c r="C711" s="86"/>
      <c r="D711" s="86"/>
    </row>
    <row r="712">
      <c r="B712" s="86"/>
      <c r="C712" s="86"/>
      <c r="D712" s="86"/>
    </row>
    <row r="713">
      <c r="B713" s="86"/>
      <c r="C713" s="86"/>
      <c r="D713" s="86"/>
    </row>
    <row r="714">
      <c r="B714" s="86"/>
      <c r="C714" s="86"/>
      <c r="D714" s="86"/>
    </row>
    <row r="715">
      <c r="B715" s="86"/>
      <c r="C715" s="86"/>
      <c r="D715" s="86"/>
    </row>
    <row r="716">
      <c r="B716" s="86"/>
      <c r="C716" s="86"/>
      <c r="D716" s="86"/>
    </row>
    <row r="717">
      <c r="B717" s="86"/>
      <c r="C717" s="86"/>
      <c r="D717" s="86"/>
    </row>
    <row r="718">
      <c r="B718" s="86"/>
      <c r="C718" s="86"/>
      <c r="D718" s="86"/>
    </row>
    <row r="719">
      <c r="B719" s="86"/>
      <c r="C719" s="86"/>
      <c r="D719" s="86"/>
    </row>
    <row r="720">
      <c r="B720" s="86"/>
      <c r="C720" s="86"/>
      <c r="D720" s="86"/>
    </row>
    <row r="721">
      <c r="B721" s="86"/>
      <c r="C721" s="86"/>
      <c r="D721" s="86"/>
    </row>
    <row r="722">
      <c r="B722" s="86"/>
      <c r="C722" s="86"/>
      <c r="D722" s="86"/>
    </row>
    <row r="723">
      <c r="B723" s="86"/>
      <c r="C723" s="86"/>
      <c r="D723" s="86"/>
    </row>
    <row r="724">
      <c r="B724" s="86"/>
      <c r="C724" s="86"/>
      <c r="D724" s="86"/>
    </row>
    <row r="725">
      <c r="B725" s="86"/>
      <c r="C725" s="86"/>
      <c r="D725" s="86"/>
    </row>
    <row r="726">
      <c r="B726" s="86"/>
      <c r="C726" s="86"/>
      <c r="D726" s="86"/>
    </row>
    <row r="727">
      <c r="B727" s="86"/>
      <c r="C727" s="86"/>
      <c r="D727" s="86"/>
    </row>
    <row r="728">
      <c r="B728" s="86"/>
      <c r="C728" s="86"/>
      <c r="D728" s="86"/>
    </row>
    <row r="729">
      <c r="B729" s="86"/>
      <c r="C729" s="86"/>
      <c r="D729" s="86"/>
    </row>
    <row r="730">
      <c r="B730" s="86"/>
      <c r="C730" s="86"/>
      <c r="D730" s="86"/>
    </row>
    <row r="731">
      <c r="B731" s="86"/>
      <c r="C731" s="86"/>
      <c r="D731" s="86"/>
    </row>
    <row r="732">
      <c r="B732" s="86"/>
      <c r="C732" s="86"/>
      <c r="D732" s="86"/>
    </row>
    <row r="733">
      <c r="B733" s="86"/>
      <c r="C733" s="86"/>
      <c r="D733" s="86"/>
    </row>
    <row r="734">
      <c r="B734" s="86"/>
      <c r="C734" s="86"/>
      <c r="D734" s="86"/>
    </row>
    <row r="735">
      <c r="B735" s="86"/>
      <c r="C735" s="86"/>
      <c r="D735" s="86"/>
    </row>
    <row r="736">
      <c r="B736" s="86"/>
      <c r="C736" s="86"/>
      <c r="D736" s="86"/>
    </row>
    <row r="737">
      <c r="B737" s="86"/>
      <c r="C737" s="86"/>
      <c r="D737" s="86"/>
    </row>
    <row r="738">
      <c r="B738" s="86"/>
      <c r="C738" s="86"/>
      <c r="D738" s="86"/>
    </row>
    <row r="739">
      <c r="B739" s="86"/>
      <c r="C739" s="86"/>
      <c r="D739" s="86"/>
    </row>
    <row r="740">
      <c r="B740" s="86"/>
      <c r="C740" s="86"/>
      <c r="D740" s="86"/>
    </row>
    <row r="741">
      <c r="B741" s="86"/>
      <c r="C741" s="86"/>
      <c r="D741" s="86"/>
    </row>
    <row r="742">
      <c r="B742" s="86"/>
      <c r="C742" s="86"/>
      <c r="D742" s="86"/>
    </row>
    <row r="743">
      <c r="B743" s="86"/>
      <c r="C743" s="86"/>
      <c r="D743" s="86"/>
    </row>
    <row r="744">
      <c r="B744" s="86"/>
      <c r="C744" s="86"/>
      <c r="D744" s="86"/>
    </row>
    <row r="745">
      <c r="B745" s="86"/>
      <c r="C745" s="86"/>
      <c r="D745" s="86"/>
    </row>
    <row r="746">
      <c r="B746" s="86"/>
      <c r="C746" s="86"/>
      <c r="D746" s="86"/>
    </row>
    <row r="747">
      <c r="B747" s="86"/>
      <c r="C747" s="86"/>
      <c r="D747" s="86"/>
    </row>
    <row r="748">
      <c r="B748" s="86"/>
      <c r="C748" s="86"/>
      <c r="D748" s="86"/>
    </row>
    <row r="749">
      <c r="B749" s="86"/>
      <c r="C749" s="86"/>
      <c r="D749" s="86"/>
    </row>
    <row r="750">
      <c r="B750" s="86"/>
      <c r="C750" s="86"/>
      <c r="D750" s="86"/>
    </row>
    <row r="751">
      <c r="B751" s="86"/>
      <c r="C751" s="86"/>
      <c r="D751" s="86"/>
    </row>
    <row r="752">
      <c r="B752" s="86"/>
      <c r="C752" s="86"/>
      <c r="D752" s="86"/>
    </row>
    <row r="753">
      <c r="B753" s="86"/>
      <c r="C753" s="86"/>
      <c r="D753" s="86"/>
    </row>
    <row r="754">
      <c r="B754" s="86"/>
      <c r="C754" s="86"/>
      <c r="D754" s="86"/>
    </row>
    <row r="755">
      <c r="B755" s="86"/>
      <c r="C755" s="86"/>
      <c r="D755" s="86"/>
    </row>
    <row r="756">
      <c r="B756" s="86"/>
      <c r="C756" s="86"/>
      <c r="D756" s="86"/>
    </row>
    <row r="757">
      <c r="B757" s="86"/>
      <c r="C757" s="86"/>
      <c r="D757" s="86"/>
    </row>
    <row r="758">
      <c r="B758" s="86"/>
      <c r="C758" s="86"/>
      <c r="D758" s="86"/>
    </row>
    <row r="759">
      <c r="B759" s="86"/>
      <c r="C759" s="86"/>
      <c r="D759" s="86"/>
    </row>
    <row r="760">
      <c r="B760" s="86"/>
      <c r="C760" s="86"/>
      <c r="D760" s="86"/>
    </row>
    <row r="761">
      <c r="B761" s="86"/>
      <c r="C761" s="86"/>
      <c r="D761" s="86"/>
    </row>
    <row r="762">
      <c r="B762" s="86"/>
      <c r="C762" s="86"/>
      <c r="D762" s="86"/>
    </row>
    <row r="763">
      <c r="B763" s="86"/>
      <c r="C763" s="86"/>
      <c r="D763" s="86"/>
    </row>
    <row r="764">
      <c r="B764" s="86"/>
      <c r="C764" s="86"/>
      <c r="D764" s="86"/>
    </row>
    <row r="765">
      <c r="B765" s="86"/>
      <c r="C765" s="86"/>
      <c r="D765" s="86"/>
    </row>
    <row r="766">
      <c r="B766" s="86"/>
      <c r="C766" s="86"/>
      <c r="D766" s="86"/>
    </row>
    <row r="767">
      <c r="B767" s="86"/>
      <c r="C767" s="86"/>
      <c r="D767" s="86"/>
    </row>
    <row r="768">
      <c r="B768" s="86"/>
      <c r="C768" s="86"/>
      <c r="D768" s="86"/>
    </row>
    <row r="769">
      <c r="B769" s="86"/>
      <c r="C769" s="86"/>
      <c r="D769" s="86"/>
    </row>
    <row r="770">
      <c r="B770" s="86"/>
      <c r="C770" s="86"/>
      <c r="D770" s="86"/>
    </row>
    <row r="771">
      <c r="B771" s="86"/>
      <c r="C771" s="86"/>
      <c r="D771" s="86"/>
    </row>
    <row r="772">
      <c r="B772" s="86"/>
      <c r="C772" s="86"/>
      <c r="D772" s="86"/>
    </row>
    <row r="773">
      <c r="B773" s="86"/>
      <c r="C773" s="86"/>
      <c r="D773" s="86"/>
    </row>
    <row r="774">
      <c r="B774" s="86"/>
      <c r="C774" s="86"/>
      <c r="D774" s="86"/>
    </row>
    <row r="775">
      <c r="B775" s="86"/>
      <c r="C775" s="86"/>
      <c r="D775" s="86"/>
    </row>
    <row r="776">
      <c r="B776" s="86"/>
      <c r="C776" s="86"/>
      <c r="D776" s="86"/>
    </row>
    <row r="777">
      <c r="B777" s="86"/>
      <c r="C777" s="86"/>
      <c r="D777" s="86"/>
    </row>
    <row r="778">
      <c r="B778" s="86"/>
      <c r="C778" s="86"/>
      <c r="D778" s="86"/>
    </row>
    <row r="779">
      <c r="B779" s="86"/>
      <c r="C779" s="86"/>
      <c r="D779" s="86"/>
    </row>
    <row r="780">
      <c r="B780" s="86"/>
      <c r="C780" s="86"/>
      <c r="D780" s="86"/>
    </row>
    <row r="781">
      <c r="B781" s="86"/>
      <c r="C781" s="86"/>
      <c r="D781" s="86"/>
    </row>
    <row r="782">
      <c r="B782" s="86"/>
      <c r="C782" s="86"/>
      <c r="D782" s="86"/>
    </row>
    <row r="783">
      <c r="B783" s="86"/>
      <c r="C783" s="86"/>
      <c r="D783" s="86"/>
    </row>
    <row r="784">
      <c r="B784" s="86"/>
      <c r="C784" s="86"/>
      <c r="D784" s="86"/>
    </row>
    <row r="785">
      <c r="B785" s="86"/>
      <c r="C785" s="86"/>
      <c r="D785" s="86"/>
    </row>
    <row r="786">
      <c r="B786" s="86"/>
      <c r="C786" s="86"/>
      <c r="D786" s="86"/>
    </row>
    <row r="787">
      <c r="B787" s="86"/>
      <c r="C787" s="86"/>
      <c r="D787" s="86"/>
    </row>
    <row r="788">
      <c r="B788" s="86"/>
      <c r="C788" s="86"/>
      <c r="D788" s="86"/>
    </row>
    <row r="789">
      <c r="B789" s="86"/>
      <c r="C789" s="86"/>
      <c r="D789" s="86"/>
    </row>
    <row r="790">
      <c r="B790" s="86"/>
      <c r="C790" s="86"/>
      <c r="D790" s="86"/>
    </row>
    <row r="791">
      <c r="B791" s="86"/>
      <c r="C791" s="86"/>
      <c r="D791" s="86"/>
    </row>
    <row r="792">
      <c r="B792" s="86"/>
      <c r="C792" s="86"/>
      <c r="D792" s="86"/>
    </row>
    <row r="793">
      <c r="B793" s="86"/>
      <c r="C793" s="86"/>
      <c r="D793" s="86"/>
    </row>
    <row r="794">
      <c r="B794" s="86"/>
      <c r="C794" s="86"/>
      <c r="D794" s="86"/>
    </row>
    <row r="795">
      <c r="B795" s="86"/>
      <c r="C795" s="86"/>
      <c r="D795" s="86"/>
    </row>
    <row r="796">
      <c r="B796" s="86"/>
      <c r="C796" s="86"/>
      <c r="D796" s="86"/>
    </row>
    <row r="797">
      <c r="B797" s="86"/>
      <c r="C797" s="86"/>
      <c r="D797" s="86"/>
    </row>
    <row r="798">
      <c r="B798" s="86"/>
      <c r="C798" s="86"/>
      <c r="D798" s="86"/>
    </row>
    <row r="799">
      <c r="B799" s="86"/>
      <c r="C799" s="86"/>
      <c r="D799" s="86"/>
    </row>
    <row r="800">
      <c r="B800" s="86"/>
      <c r="C800" s="86"/>
      <c r="D800" s="86"/>
    </row>
    <row r="801">
      <c r="B801" s="86"/>
      <c r="C801" s="86"/>
      <c r="D801" s="86"/>
    </row>
    <row r="802">
      <c r="B802" s="86"/>
      <c r="C802" s="86"/>
      <c r="D802" s="86"/>
    </row>
    <row r="803">
      <c r="B803" s="86"/>
      <c r="C803" s="86"/>
      <c r="D803" s="86"/>
    </row>
    <row r="804">
      <c r="B804" s="86"/>
      <c r="C804" s="86"/>
      <c r="D804" s="86"/>
    </row>
    <row r="805">
      <c r="B805" s="86"/>
      <c r="C805" s="86"/>
      <c r="D805" s="86"/>
    </row>
    <row r="806">
      <c r="B806" s="86"/>
      <c r="C806" s="86"/>
      <c r="D806" s="86"/>
    </row>
    <row r="807">
      <c r="B807" s="86"/>
      <c r="C807" s="86"/>
      <c r="D807" s="86"/>
    </row>
    <row r="808">
      <c r="B808" s="86"/>
      <c r="C808" s="86"/>
      <c r="D808" s="86"/>
    </row>
    <row r="809">
      <c r="B809" s="86"/>
      <c r="C809" s="86"/>
      <c r="D809" s="86"/>
    </row>
    <row r="810">
      <c r="B810" s="86"/>
      <c r="C810" s="86"/>
      <c r="D810" s="86"/>
    </row>
    <row r="811">
      <c r="B811" s="86"/>
      <c r="C811" s="86"/>
      <c r="D811" s="86"/>
    </row>
    <row r="812">
      <c r="B812" s="86"/>
      <c r="C812" s="86"/>
      <c r="D812" s="86"/>
    </row>
    <row r="813">
      <c r="B813" s="86"/>
      <c r="C813" s="86"/>
      <c r="D813" s="86"/>
    </row>
    <row r="814">
      <c r="B814" s="86"/>
      <c r="C814" s="86"/>
      <c r="D814" s="86"/>
    </row>
    <row r="815">
      <c r="B815" s="86"/>
      <c r="C815" s="86"/>
      <c r="D815" s="86"/>
    </row>
    <row r="816">
      <c r="B816" s="86"/>
      <c r="C816" s="86"/>
      <c r="D816" s="86"/>
    </row>
    <row r="817">
      <c r="B817" s="86"/>
      <c r="C817" s="86"/>
      <c r="D817" s="86"/>
    </row>
    <row r="818">
      <c r="B818" s="86"/>
      <c r="C818" s="86"/>
      <c r="D818" s="86"/>
    </row>
    <row r="819">
      <c r="B819" s="86"/>
      <c r="C819" s="86"/>
      <c r="D819" s="86"/>
    </row>
    <row r="820">
      <c r="B820" s="86"/>
      <c r="C820" s="86"/>
      <c r="D820" s="86"/>
    </row>
    <row r="821">
      <c r="B821" s="86"/>
      <c r="C821" s="86"/>
      <c r="D821" s="86"/>
    </row>
    <row r="822">
      <c r="B822" s="86"/>
      <c r="C822" s="86"/>
      <c r="D822" s="86"/>
    </row>
    <row r="823">
      <c r="B823" s="86"/>
      <c r="C823" s="86"/>
      <c r="D823" s="86"/>
    </row>
    <row r="824">
      <c r="B824" s="86"/>
      <c r="C824" s="86"/>
      <c r="D824" s="86"/>
    </row>
    <row r="825">
      <c r="B825" s="86"/>
      <c r="C825" s="86"/>
      <c r="D825" s="86"/>
    </row>
    <row r="826">
      <c r="B826" s="86"/>
      <c r="C826" s="86"/>
      <c r="D826" s="86"/>
    </row>
    <row r="827">
      <c r="B827" s="86"/>
      <c r="C827" s="86"/>
      <c r="D827" s="86"/>
    </row>
    <row r="828">
      <c r="B828" s="86"/>
      <c r="C828" s="86"/>
      <c r="D828" s="86"/>
    </row>
    <row r="829">
      <c r="B829" s="86"/>
      <c r="C829" s="86"/>
      <c r="D829" s="86"/>
    </row>
    <row r="830">
      <c r="B830" s="86"/>
      <c r="C830" s="86"/>
      <c r="D830" s="86"/>
    </row>
    <row r="831">
      <c r="B831" s="86"/>
      <c r="C831" s="86"/>
      <c r="D831" s="86"/>
    </row>
    <row r="832">
      <c r="B832" s="86"/>
      <c r="C832" s="86"/>
      <c r="D832" s="86"/>
    </row>
    <row r="833">
      <c r="B833" s="86"/>
      <c r="C833" s="86"/>
      <c r="D833" s="86"/>
    </row>
    <row r="834">
      <c r="B834" s="86"/>
      <c r="C834" s="86"/>
      <c r="D834" s="86"/>
    </row>
    <row r="835">
      <c r="B835" s="86"/>
      <c r="C835" s="86"/>
      <c r="D835" s="86"/>
    </row>
    <row r="836">
      <c r="B836" s="86"/>
      <c r="C836" s="86"/>
      <c r="D836" s="86"/>
    </row>
    <row r="837">
      <c r="B837" s="86"/>
      <c r="C837" s="86"/>
      <c r="D837" s="86"/>
    </row>
    <row r="838">
      <c r="B838" s="86"/>
      <c r="C838" s="86"/>
      <c r="D838" s="86"/>
    </row>
    <row r="839">
      <c r="B839" s="86"/>
      <c r="C839" s="86"/>
      <c r="D839" s="86"/>
    </row>
    <row r="840">
      <c r="B840" s="86"/>
      <c r="C840" s="86"/>
      <c r="D840" s="86"/>
    </row>
    <row r="841">
      <c r="B841" s="86"/>
      <c r="C841" s="86"/>
      <c r="D841" s="86"/>
    </row>
    <row r="842">
      <c r="B842" s="86"/>
      <c r="C842" s="86"/>
      <c r="D842" s="86"/>
    </row>
    <row r="843">
      <c r="B843" s="86"/>
      <c r="C843" s="86"/>
      <c r="D843" s="86"/>
    </row>
    <row r="844">
      <c r="B844" s="86"/>
      <c r="C844" s="86"/>
      <c r="D844" s="86"/>
    </row>
    <row r="845">
      <c r="B845" s="86"/>
      <c r="C845" s="86"/>
      <c r="D845" s="86"/>
    </row>
    <row r="846">
      <c r="B846" s="86"/>
      <c r="C846" s="86"/>
      <c r="D846" s="86"/>
    </row>
    <row r="847">
      <c r="B847" s="86"/>
      <c r="C847" s="86"/>
      <c r="D847" s="86"/>
    </row>
    <row r="848">
      <c r="B848" s="86"/>
      <c r="C848" s="86"/>
      <c r="D848" s="86"/>
    </row>
    <row r="849">
      <c r="B849" s="86"/>
      <c r="C849" s="86"/>
      <c r="D849" s="86"/>
    </row>
    <row r="850">
      <c r="B850" s="86"/>
      <c r="C850" s="86"/>
      <c r="D850" s="86"/>
    </row>
    <row r="851">
      <c r="B851" s="86"/>
      <c r="C851" s="86"/>
      <c r="D851" s="86"/>
    </row>
    <row r="852">
      <c r="B852" s="86"/>
      <c r="C852" s="86"/>
      <c r="D852" s="86"/>
    </row>
    <row r="853">
      <c r="B853" s="86"/>
      <c r="C853" s="86"/>
      <c r="D853" s="86"/>
    </row>
    <row r="854">
      <c r="B854" s="86"/>
      <c r="C854" s="86"/>
      <c r="D854" s="86"/>
    </row>
    <row r="855">
      <c r="B855" s="86"/>
      <c r="C855" s="86"/>
      <c r="D855" s="86"/>
    </row>
    <row r="856">
      <c r="B856" s="86"/>
      <c r="C856" s="86"/>
      <c r="D856" s="86"/>
    </row>
    <row r="857">
      <c r="B857" s="86"/>
      <c r="C857" s="86"/>
      <c r="D857" s="86"/>
    </row>
    <row r="858">
      <c r="B858" s="86"/>
      <c r="C858" s="86"/>
      <c r="D858" s="86"/>
    </row>
    <row r="859">
      <c r="B859" s="86"/>
      <c r="C859" s="86"/>
      <c r="D859" s="86"/>
    </row>
    <row r="860">
      <c r="B860" s="86"/>
      <c r="C860" s="86"/>
      <c r="D860" s="86"/>
    </row>
    <row r="861">
      <c r="B861" s="86"/>
      <c r="C861" s="86"/>
      <c r="D861" s="86"/>
    </row>
    <row r="862">
      <c r="B862" s="86"/>
      <c r="C862" s="86"/>
      <c r="D862" s="86"/>
    </row>
    <row r="863">
      <c r="B863" s="86"/>
      <c r="C863" s="86"/>
      <c r="D863" s="86"/>
    </row>
    <row r="864">
      <c r="B864" s="86"/>
      <c r="C864" s="86"/>
      <c r="D864" s="86"/>
    </row>
    <row r="865">
      <c r="B865" s="86"/>
      <c r="C865" s="86"/>
      <c r="D865" s="86"/>
    </row>
    <row r="866">
      <c r="B866" s="86"/>
      <c r="C866" s="86"/>
      <c r="D866" s="86"/>
    </row>
    <row r="867">
      <c r="B867" s="86"/>
      <c r="C867" s="86"/>
      <c r="D867" s="86"/>
    </row>
    <row r="868">
      <c r="B868" s="86"/>
      <c r="C868" s="86"/>
      <c r="D868" s="86"/>
    </row>
    <row r="869">
      <c r="B869" s="86"/>
      <c r="C869" s="86"/>
      <c r="D869" s="86"/>
    </row>
    <row r="870">
      <c r="B870" s="86"/>
      <c r="C870" s="86"/>
      <c r="D870" s="86"/>
    </row>
    <row r="871">
      <c r="B871" s="86"/>
      <c r="C871" s="86"/>
      <c r="D871" s="86"/>
    </row>
    <row r="872">
      <c r="B872" s="86"/>
      <c r="C872" s="86"/>
      <c r="D872" s="86"/>
    </row>
    <row r="873">
      <c r="B873" s="86"/>
      <c r="C873" s="86"/>
      <c r="D873" s="86"/>
    </row>
    <row r="874">
      <c r="B874" s="86"/>
      <c r="C874" s="86"/>
      <c r="D874" s="86"/>
    </row>
    <row r="875">
      <c r="B875" s="86"/>
      <c r="C875" s="86"/>
      <c r="D875" s="86"/>
    </row>
    <row r="876">
      <c r="B876" s="86"/>
      <c r="C876" s="86"/>
      <c r="D876" s="86"/>
    </row>
    <row r="877">
      <c r="B877" s="86"/>
      <c r="C877" s="86"/>
      <c r="D877" s="86"/>
    </row>
    <row r="878">
      <c r="B878" s="86"/>
      <c r="C878" s="86"/>
      <c r="D878" s="86"/>
    </row>
    <row r="879">
      <c r="B879" s="86"/>
      <c r="C879" s="86"/>
      <c r="D879" s="86"/>
    </row>
    <row r="880">
      <c r="B880" s="86"/>
      <c r="C880" s="86"/>
      <c r="D880" s="86"/>
    </row>
    <row r="881">
      <c r="B881" s="86"/>
      <c r="C881" s="86"/>
      <c r="D881" s="86"/>
    </row>
    <row r="882">
      <c r="B882" s="86"/>
      <c r="C882" s="86"/>
      <c r="D882" s="86"/>
    </row>
    <row r="883">
      <c r="B883" s="86"/>
      <c r="C883" s="86"/>
      <c r="D883" s="86"/>
    </row>
    <row r="884">
      <c r="B884" s="86"/>
      <c r="C884" s="86"/>
      <c r="D884" s="86"/>
    </row>
    <row r="885">
      <c r="B885" s="86"/>
      <c r="C885" s="86"/>
      <c r="D885" s="86"/>
    </row>
    <row r="886">
      <c r="B886" s="86"/>
      <c r="C886" s="86"/>
      <c r="D886" s="86"/>
    </row>
    <row r="887">
      <c r="B887" s="86"/>
      <c r="C887" s="86"/>
      <c r="D887" s="86"/>
    </row>
    <row r="888">
      <c r="B888" s="86"/>
      <c r="C888" s="86"/>
      <c r="D888" s="86"/>
    </row>
    <row r="889">
      <c r="B889" s="86"/>
      <c r="C889" s="86"/>
      <c r="D889" s="86"/>
    </row>
    <row r="890">
      <c r="B890" s="86"/>
      <c r="C890" s="86"/>
      <c r="D890" s="86"/>
    </row>
    <row r="891">
      <c r="B891" s="86"/>
      <c r="C891" s="86"/>
      <c r="D891" s="86"/>
    </row>
    <row r="892">
      <c r="B892" s="86"/>
      <c r="C892" s="86"/>
      <c r="D892" s="86"/>
    </row>
    <row r="893">
      <c r="B893" s="86"/>
      <c r="C893" s="86"/>
      <c r="D893" s="86"/>
    </row>
    <row r="894">
      <c r="B894" s="86"/>
      <c r="C894" s="86"/>
      <c r="D894" s="86"/>
    </row>
    <row r="895">
      <c r="B895" s="86"/>
      <c r="C895" s="86"/>
      <c r="D895" s="86"/>
    </row>
    <row r="896">
      <c r="B896" s="86"/>
      <c r="C896" s="86"/>
      <c r="D896" s="86"/>
    </row>
    <row r="897">
      <c r="B897" s="86"/>
      <c r="C897" s="86"/>
      <c r="D897" s="86"/>
    </row>
    <row r="898">
      <c r="B898" s="86"/>
      <c r="C898" s="86"/>
      <c r="D898" s="86"/>
    </row>
    <row r="899">
      <c r="B899" s="86"/>
      <c r="C899" s="86"/>
      <c r="D899" s="86"/>
    </row>
    <row r="900">
      <c r="B900" s="86"/>
      <c r="C900" s="86"/>
      <c r="D900" s="86"/>
    </row>
    <row r="901">
      <c r="B901" s="86"/>
      <c r="C901" s="86"/>
      <c r="D901" s="86"/>
    </row>
    <row r="902">
      <c r="B902" s="86"/>
      <c r="C902" s="86"/>
      <c r="D902" s="86"/>
    </row>
    <row r="903">
      <c r="B903" s="86"/>
      <c r="C903" s="86"/>
      <c r="D903" s="86"/>
    </row>
    <row r="904">
      <c r="B904" s="86"/>
      <c r="C904" s="86"/>
      <c r="D904" s="86"/>
    </row>
    <row r="905">
      <c r="B905" s="86"/>
      <c r="C905" s="86"/>
      <c r="D905" s="86"/>
    </row>
    <row r="906">
      <c r="B906" s="86"/>
      <c r="C906" s="86"/>
      <c r="D906" s="86"/>
    </row>
    <row r="907">
      <c r="B907" s="86"/>
      <c r="C907" s="86"/>
      <c r="D907" s="86"/>
    </row>
    <row r="908">
      <c r="B908" s="86"/>
      <c r="C908" s="86"/>
      <c r="D908" s="86"/>
    </row>
    <row r="909">
      <c r="B909" s="86"/>
      <c r="C909" s="86"/>
      <c r="D909" s="86"/>
    </row>
    <row r="910">
      <c r="B910" s="86"/>
      <c r="C910" s="86"/>
      <c r="D910" s="86"/>
    </row>
    <row r="911">
      <c r="B911" s="86"/>
      <c r="C911" s="86"/>
      <c r="D911" s="86"/>
    </row>
    <row r="912">
      <c r="B912" s="86"/>
      <c r="C912" s="86"/>
      <c r="D912" s="86"/>
    </row>
    <row r="913">
      <c r="B913" s="86"/>
      <c r="C913" s="86"/>
      <c r="D913" s="86"/>
    </row>
    <row r="914">
      <c r="B914" s="86"/>
      <c r="C914" s="86"/>
      <c r="D914" s="86"/>
    </row>
    <row r="915">
      <c r="B915" s="86"/>
      <c r="C915" s="86"/>
      <c r="D915" s="86"/>
    </row>
    <row r="916">
      <c r="B916" s="86"/>
      <c r="C916" s="86"/>
      <c r="D916" s="86"/>
    </row>
    <row r="917">
      <c r="B917" s="86"/>
      <c r="C917" s="86"/>
      <c r="D917" s="86"/>
    </row>
    <row r="918">
      <c r="B918" s="86"/>
      <c r="C918" s="86"/>
      <c r="D918" s="86"/>
    </row>
    <row r="919">
      <c r="B919" s="86"/>
      <c r="C919" s="86"/>
      <c r="D919" s="86"/>
    </row>
    <row r="920">
      <c r="B920" s="86"/>
      <c r="C920" s="86"/>
      <c r="D920" s="86"/>
    </row>
    <row r="921">
      <c r="B921" s="86"/>
      <c r="C921" s="86"/>
      <c r="D921" s="86"/>
    </row>
    <row r="922">
      <c r="B922" s="86"/>
      <c r="C922" s="86"/>
      <c r="D922" s="86"/>
    </row>
    <row r="923">
      <c r="B923" s="86"/>
      <c r="C923" s="86"/>
      <c r="D923" s="86"/>
    </row>
    <row r="924">
      <c r="B924" s="86"/>
      <c r="C924" s="86"/>
      <c r="D924" s="86"/>
    </row>
    <row r="925">
      <c r="B925" s="86"/>
      <c r="C925" s="86"/>
      <c r="D925" s="86"/>
    </row>
    <row r="926">
      <c r="B926" s="86"/>
      <c r="C926" s="86"/>
      <c r="D926" s="86"/>
    </row>
    <row r="927">
      <c r="B927" s="86"/>
      <c r="C927" s="86"/>
      <c r="D927" s="86"/>
    </row>
    <row r="928">
      <c r="B928" s="86"/>
      <c r="C928" s="86"/>
      <c r="D928" s="86"/>
    </row>
    <row r="929">
      <c r="B929" s="86"/>
      <c r="C929" s="86"/>
      <c r="D929" s="86"/>
    </row>
    <row r="930">
      <c r="B930" s="86"/>
      <c r="C930" s="86"/>
      <c r="D930" s="86"/>
    </row>
    <row r="931">
      <c r="B931" s="86"/>
      <c r="C931" s="86"/>
      <c r="D931" s="86"/>
    </row>
    <row r="932">
      <c r="B932" s="86"/>
      <c r="C932" s="86"/>
      <c r="D932" s="86"/>
    </row>
    <row r="933">
      <c r="B933" s="86"/>
      <c r="C933" s="86"/>
      <c r="D933" s="86"/>
    </row>
    <row r="934">
      <c r="B934" s="86"/>
      <c r="C934" s="86"/>
      <c r="D934" s="86"/>
    </row>
    <row r="935">
      <c r="B935" s="86"/>
      <c r="C935" s="86"/>
      <c r="D935" s="86"/>
    </row>
    <row r="936">
      <c r="B936" s="86"/>
      <c r="C936" s="86"/>
      <c r="D936" s="86"/>
    </row>
    <row r="937">
      <c r="B937" s="86"/>
      <c r="C937" s="86"/>
      <c r="D937" s="86"/>
    </row>
    <row r="938">
      <c r="B938" s="86"/>
      <c r="C938" s="86"/>
      <c r="D938" s="86"/>
    </row>
    <row r="939">
      <c r="B939" s="86"/>
      <c r="C939" s="86"/>
      <c r="D939" s="86"/>
    </row>
    <row r="940">
      <c r="B940" s="86"/>
      <c r="C940" s="86"/>
      <c r="D940" s="86"/>
    </row>
    <row r="941">
      <c r="B941" s="86"/>
      <c r="C941" s="86"/>
      <c r="D941" s="86"/>
    </row>
    <row r="942">
      <c r="B942" s="86"/>
      <c r="C942" s="86"/>
      <c r="D942" s="86"/>
    </row>
    <row r="943">
      <c r="B943" s="86"/>
      <c r="C943" s="86"/>
      <c r="D943" s="86"/>
    </row>
    <row r="944">
      <c r="B944" s="86"/>
      <c r="C944" s="86"/>
      <c r="D944" s="86"/>
    </row>
    <row r="945">
      <c r="B945" s="86"/>
      <c r="C945" s="86"/>
      <c r="D945" s="86"/>
    </row>
    <row r="946">
      <c r="B946" s="86"/>
      <c r="C946" s="86"/>
      <c r="D946" s="86"/>
    </row>
    <row r="947">
      <c r="B947" s="86"/>
      <c r="C947" s="86"/>
      <c r="D947" s="86"/>
    </row>
    <row r="948">
      <c r="B948" s="86"/>
      <c r="C948" s="86"/>
      <c r="D948" s="86"/>
    </row>
    <row r="949">
      <c r="B949" s="86"/>
      <c r="C949" s="86"/>
      <c r="D949" s="86"/>
    </row>
    <row r="950">
      <c r="B950" s="86"/>
      <c r="C950" s="86"/>
      <c r="D950" s="86"/>
    </row>
    <row r="951">
      <c r="B951" s="86"/>
      <c r="C951" s="86"/>
      <c r="D951" s="86"/>
    </row>
    <row r="952">
      <c r="B952" s="86"/>
      <c r="C952" s="86"/>
      <c r="D952" s="86"/>
    </row>
    <row r="953">
      <c r="B953" s="86"/>
      <c r="C953" s="86"/>
      <c r="D953" s="86"/>
    </row>
    <row r="954">
      <c r="B954" s="86"/>
      <c r="C954" s="86"/>
      <c r="D954" s="86"/>
    </row>
    <row r="955">
      <c r="B955" s="86"/>
      <c r="C955" s="86"/>
      <c r="D955" s="86"/>
    </row>
    <row r="956">
      <c r="B956" s="86"/>
      <c r="C956" s="86"/>
      <c r="D956" s="86"/>
    </row>
    <row r="957">
      <c r="B957" s="86"/>
      <c r="C957" s="86"/>
      <c r="D957" s="86"/>
    </row>
    <row r="958">
      <c r="B958" s="86"/>
      <c r="C958" s="86"/>
      <c r="D958" s="86"/>
    </row>
    <row r="959">
      <c r="B959" s="86"/>
      <c r="C959" s="86"/>
      <c r="D959" s="86"/>
    </row>
    <row r="960">
      <c r="B960" s="86"/>
      <c r="C960" s="86"/>
      <c r="D960" s="86"/>
    </row>
    <row r="961">
      <c r="B961" s="86"/>
      <c r="C961" s="86"/>
      <c r="D961" s="86"/>
    </row>
    <row r="962">
      <c r="B962" s="86"/>
      <c r="C962" s="86"/>
      <c r="D962" s="86"/>
    </row>
    <row r="963">
      <c r="B963" s="86"/>
      <c r="C963" s="86"/>
      <c r="D963" s="86"/>
    </row>
    <row r="964">
      <c r="B964" s="86"/>
      <c r="C964" s="86"/>
      <c r="D964" s="86"/>
    </row>
    <row r="965">
      <c r="B965" s="86"/>
      <c r="C965" s="86"/>
      <c r="D965" s="86"/>
    </row>
    <row r="966">
      <c r="B966" s="86"/>
      <c r="C966" s="86"/>
      <c r="D966" s="86"/>
    </row>
    <row r="967">
      <c r="B967" s="86"/>
      <c r="C967" s="86"/>
      <c r="D967" s="86"/>
    </row>
    <row r="968">
      <c r="B968" s="86"/>
      <c r="C968" s="86"/>
      <c r="D968" s="86"/>
    </row>
    <row r="969">
      <c r="B969" s="86"/>
      <c r="C969" s="86"/>
      <c r="D969" s="86"/>
    </row>
    <row r="970">
      <c r="B970" s="86"/>
      <c r="C970" s="86"/>
      <c r="D970" s="86"/>
    </row>
    <row r="971">
      <c r="B971" s="86"/>
      <c r="C971" s="86"/>
      <c r="D971" s="86"/>
    </row>
    <row r="972">
      <c r="B972" s="86"/>
      <c r="C972" s="86"/>
      <c r="D972" s="86"/>
    </row>
    <row r="973">
      <c r="B973" s="86"/>
      <c r="C973" s="86"/>
      <c r="D973" s="86"/>
    </row>
    <row r="974">
      <c r="B974" s="86"/>
      <c r="C974" s="86"/>
      <c r="D974" s="86"/>
    </row>
    <row r="975">
      <c r="B975" s="86"/>
      <c r="C975" s="86"/>
      <c r="D975" s="86"/>
    </row>
    <row r="976">
      <c r="B976" s="86"/>
      <c r="C976" s="86"/>
      <c r="D976" s="86"/>
    </row>
    <row r="977">
      <c r="B977" s="86"/>
      <c r="C977" s="86"/>
      <c r="D977" s="86"/>
    </row>
    <row r="978">
      <c r="B978" s="86"/>
      <c r="C978" s="86"/>
      <c r="D978" s="86"/>
    </row>
    <row r="979">
      <c r="B979" s="86"/>
      <c r="C979" s="86"/>
      <c r="D979" s="86"/>
    </row>
    <row r="980">
      <c r="B980" s="86"/>
      <c r="C980" s="86"/>
      <c r="D980" s="86"/>
    </row>
    <row r="981">
      <c r="B981" s="86"/>
      <c r="C981" s="86"/>
      <c r="D981" s="86"/>
    </row>
    <row r="982">
      <c r="B982" s="86"/>
      <c r="C982" s="86"/>
      <c r="D982" s="86"/>
    </row>
    <row r="983">
      <c r="B983" s="86"/>
      <c r="C983" s="86"/>
      <c r="D983" s="86"/>
    </row>
    <row r="984">
      <c r="B984" s="86"/>
      <c r="C984" s="86"/>
      <c r="D984" s="86"/>
    </row>
    <row r="985">
      <c r="B985" s="86"/>
      <c r="C985" s="86"/>
      <c r="D985" s="86"/>
    </row>
    <row r="986">
      <c r="B986" s="86"/>
      <c r="C986" s="86"/>
      <c r="D986" s="86"/>
    </row>
    <row r="987">
      <c r="B987" s="86"/>
      <c r="C987" s="86"/>
      <c r="D987" s="86"/>
    </row>
    <row r="988">
      <c r="B988" s="86"/>
      <c r="C988" s="86"/>
      <c r="D988" s="86"/>
    </row>
    <row r="989">
      <c r="B989" s="86"/>
      <c r="C989" s="86"/>
      <c r="D989" s="86"/>
    </row>
    <row r="990">
      <c r="B990" s="86"/>
      <c r="C990" s="86"/>
      <c r="D990" s="86"/>
    </row>
    <row r="991">
      <c r="B991" s="86"/>
      <c r="C991" s="86"/>
      <c r="D991" s="86"/>
    </row>
    <row r="992">
      <c r="B992" s="86"/>
      <c r="C992" s="86"/>
      <c r="D992" s="86"/>
    </row>
    <row r="993">
      <c r="B993" s="86"/>
      <c r="C993" s="86"/>
      <c r="D993" s="86"/>
    </row>
    <row r="994">
      <c r="B994" s="86"/>
      <c r="C994" s="86"/>
      <c r="D994" s="86"/>
    </row>
    <row r="995">
      <c r="B995" s="86"/>
      <c r="C995" s="86"/>
      <c r="D995" s="86"/>
    </row>
    <row r="996">
      <c r="B996" s="86"/>
      <c r="C996" s="86"/>
      <c r="D996" s="86"/>
    </row>
    <row r="997">
      <c r="B997" s="86"/>
      <c r="C997" s="86"/>
      <c r="D997" s="86"/>
    </row>
    <row r="998">
      <c r="B998" s="86"/>
      <c r="C998" s="86"/>
      <c r="D998" s="86"/>
    </row>
    <row r="999">
      <c r="B999" s="86"/>
      <c r="C999" s="86"/>
      <c r="D999" s="86"/>
    </row>
    <row r="1000">
      <c r="B1000" s="86"/>
      <c r="C1000" s="86"/>
      <c r="D1000" s="8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8">
        <v>2022.0</v>
      </c>
      <c r="B1" s="200">
        <f>SUM('ОСНОВА'!K185:K227)</f>
        <v>0</v>
      </c>
      <c r="C1" s="200">
        <f t="shared" ref="C1:C2" si="1">B1*5</f>
        <v>0</v>
      </c>
      <c r="D1" s="200">
        <v>0.0</v>
      </c>
    </row>
    <row r="2">
      <c r="A2" s="68">
        <v>2023.0</v>
      </c>
      <c r="B2" s="200">
        <f>SUM('ОСНОВА'!K132:K184)</f>
        <v>0</v>
      </c>
      <c r="C2" s="200">
        <f t="shared" si="1"/>
        <v>0</v>
      </c>
      <c r="D2" s="200">
        <v>0.0</v>
      </c>
    </row>
    <row r="3">
      <c r="A3" s="68">
        <v>2024.0</v>
      </c>
      <c r="B3" s="200">
        <f>SUM('ОСНОВА'!K79:K131)</f>
        <v>795</v>
      </c>
      <c r="C3" s="200">
        <f t="shared" ref="C3:C4" si="2">B3</f>
        <v>795</v>
      </c>
      <c r="D3" s="200">
        <v>0.0</v>
      </c>
    </row>
    <row r="4">
      <c r="A4" s="68">
        <v>2025.0</v>
      </c>
      <c r="B4" s="200">
        <f>SUM('ОСНОВА'!K5:K78)</f>
        <v>2117</v>
      </c>
      <c r="C4" s="200">
        <f t="shared" si="2"/>
        <v>2117</v>
      </c>
      <c r="D4" s="86">
        <f>'ОСНОВА'!K4</f>
        <v>30.65263158</v>
      </c>
    </row>
    <row r="5">
      <c r="B5" s="86"/>
      <c r="C5" s="86"/>
      <c r="D5" s="86"/>
    </row>
    <row r="6">
      <c r="B6" s="86"/>
      <c r="C6" s="86"/>
      <c r="D6" s="86"/>
    </row>
    <row r="7">
      <c r="B7" s="86"/>
      <c r="C7" s="86"/>
      <c r="D7" s="86"/>
    </row>
    <row r="8">
      <c r="B8" s="86"/>
      <c r="C8" s="86"/>
      <c r="D8" s="86"/>
    </row>
    <row r="9">
      <c r="B9" s="86"/>
      <c r="C9" s="86"/>
      <c r="D9" s="86"/>
    </row>
    <row r="10">
      <c r="B10" s="86"/>
      <c r="C10" s="86"/>
      <c r="D10" s="86"/>
    </row>
    <row r="11">
      <c r="B11" s="86"/>
      <c r="C11" s="86"/>
      <c r="D11" s="86"/>
    </row>
    <row r="12">
      <c r="B12" s="86"/>
      <c r="C12" s="86"/>
      <c r="D12" s="86"/>
    </row>
    <row r="13">
      <c r="B13" s="86"/>
      <c r="C13" s="86"/>
      <c r="D13" s="86"/>
    </row>
    <row r="14">
      <c r="B14" s="86"/>
      <c r="C14" s="86"/>
      <c r="D14" s="86"/>
    </row>
    <row r="15">
      <c r="B15" s="86"/>
      <c r="C15" s="86"/>
      <c r="D15" s="86"/>
    </row>
    <row r="16">
      <c r="B16" s="86"/>
      <c r="C16" s="86"/>
      <c r="D16" s="86"/>
    </row>
    <row r="17">
      <c r="B17" s="86">
        <f>C3-C4</f>
        <v>-1322</v>
      </c>
      <c r="C17" s="86">
        <f>B17/5</f>
        <v>-264.4</v>
      </c>
      <c r="D17" s="86">
        <f>C17/6</f>
        <v>-44.06666667</v>
      </c>
    </row>
    <row r="18">
      <c r="B18" s="86"/>
      <c r="C18" s="86"/>
      <c r="D18" s="86"/>
    </row>
    <row r="19">
      <c r="B19" s="200">
        <v>7725.0</v>
      </c>
      <c r="C19" s="86"/>
      <c r="D19" s="86">
        <f>B19*5</f>
        <v>38625</v>
      </c>
    </row>
    <row r="20">
      <c r="A20" s="82">
        <f>B20/8</f>
        <v>154.875</v>
      </c>
      <c r="B20" s="86">
        <f>C20/5</f>
        <v>1239</v>
      </c>
      <c r="C20" s="200">
        <v>6195.0</v>
      </c>
      <c r="D20" s="86"/>
    </row>
    <row r="21">
      <c r="B21" s="86"/>
      <c r="C21" s="86"/>
      <c r="D21" s="86"/>
    </row>
    <row r="22">
      <c r="B22" s="86"/>
      <c r="C22" s="86"/>
      <c r="D22" s="86"/>
    </row>
    <row r="23">
      <c r="B23" s="86"/>
      <c r="C23" s="86"/>
      <c r="D23" s="86"/>
    </row>
    <row r="24">
      <c r="B24" s="86"/>
      <c r="C24" s="86"/>
      <c r="D24" s="86"/>
    </row>
    <row r="25">
      <c r="B25" s="86"/>
      <c r="C25" s="86"/>
      <c r="D25" s="86"/>
    </row>
    <row r="26">
      <c r="B26" s="86"/>
      <c r="C26" s="86"/>
      <c r="D26" s="86"/>
    </row>
    <row r="27">
      <c r="B27" s="86"/>
      <c r="C27" s="86"/>
      <c r="D27" s="86"/>
    </row>
    <row r="28">
      <c r="B28" s="86"/>
      <c r="C28" s="86"/>
      <c r="D28" s="86"/>
    </row>
    <row r="29">
      <c r="B29" s="86"/>
      <c r="C29" s="86"/>
      <c r="D29" s="86"/>
    </row>
    <row r="30">
      <c r="B30" s="86"/>
      <c r="C30" s="86"/>
      <c r="D30" s="86"/>
    </row>
    <row r="31">
      <c r="B31" s="86"/>
      <c r="C31" s="86"/>
      <c r="D31" s="86"/>
      <c r="N31" s="201"/>
    </row>
    <row r="32">
      <c r="B32" s="86"/>
      <c r="C32" s="86"/>
      <c r="D32" s="86"/>
    </row>
    <row r="33">
      <c r="B33" s="86"/>
      <c r="C33" s="86"/>
      <c r="D33" s="86"/>
    </row>
    <row r="34">
      <c r="B34" s="86"/>
      <c r="C34" s="86"/>
      <c r="D34" s="86"/>
    </row>
    <row r="35">
      <c r="B35" s="86"/>
      <c r="C35" s="86"/>
      <c r="D35" s="86"/>
    </row>
    <row r="36">
      <c r="B36" s="86"/>
      <c r="C36" s="86"/>
      <c r="D36" s="86"/>
    </row>
    <row r="37">
      <c r="B37" s="86"/>
      <c r="C37" s="86"/>
      <c r="D37" s="86"/>
    </row>
    <row r="38">
      <c r="B38" s="86"/>
      <c r="C38" s="86"/>
      <c r="D38" s="86"/>
    </row>
    <row r="39">
      <c r="B39" s="86"/>
      <c r="C39" s="86"/>
      <c r="D39" s="86"/>
    </row>
    <row r="40">
      <c r="B40" s="86"/>
      <c r="C40" s="86"/>
      <c r="D40" s="86"/>
    </row>
    <row r="41">
      <c r="B41" s="86"/>
      <c r="C41" s="86"/>
      <c r="D41" s="86"/>
    </row>
    <row r="42">
      <c r="B42" s="86"/>
      <c r="C42" s="86"/>
      <c r="D42" s="86"/>
    </row>
    <row r="43">
      <c r="B43" s="86"/>
      <c r="C43" s="86"/>
      <c r="D43" s="86"/>
    </row>
    <row r="44">
      <c r="B44" s="86"/>
      <c r="C44" s="86"/>
      <c r="D44" s="86"/>
    </row>
    <row r="45">
      <c r="B45" s="86"/>
      <c r="C45" s="86"/>
      <c r="D45" s="86"/>
    </row>
    <row r="46">
      <c r="B46" s="86"/>
      <c r="C46" s="86"/>
      <c r="D46" s="86"/>
    </row>
    <row r="47">
      <c r="B47" s="86"/>
      <c r="C47" s="86"/>
      <c r="D47" s="86"/>
    </row>
    <row r="48">
      <c r="B48" s="86"/>
      <c r="C48" s="86"/>
      <c r="D48" s="86"/>
    </row>
    <row r="49">
      <c r="B49" s="86"/>
      <c r="C49" s="86"/>
      <c r="D49" s="86"/>
    </row>
    <row r="50">
      <c r="B50" s="86"/>
      <c r="C50" s="86"/>
      <c r="D50" s="86"/>
    </row>
    <row r="51">
      <c r="B51" s="86"/>
      <c r="C51" s="86"/>
      <c r="D51" s="86"/>
    </row>
    <row r="52">
      <c r="B52" s="86"/>
      <c r="C52" s="86"/>
      <c r="D52" s="86"/>
    </row>
    <row r="53">
      <c r="B53" s="86"/>
      <c r="C53" s="86"/>
      <c r="D53" s="86"/>
    </row>
    <row r="54">
      <c r="B54" s="86"/>
      <c r="C54" s="86"/>
      <c r="D54" s="86"/>
    </row>
    <row r="55">
      <c r="B55" s="86"/>
      <c r="C55" s="86"/>
      <c r="D55" s="86"/>
    </row>
    <row r="56">
      <c r="B56" s="86"/>
      <c r="C56" s="86"/>
      <c r="D56" s="86"/>
    </row>
    <row r="57">
      <c r="B57" s="86"/>
      <c r="C57" s="86"/>
      <c r="D57" s="86"/>
    </row>
    <row r="58">
      <c r="B58" s="86"/>
      <c r="C58" s="86"/>
      <c r="D58" s="86"/>
    </row>
    <row r="59">
      <c r="B59" s="86"/>
      <c r="C59" s="86"/>
      <c r="D59" s="86"/>
    </row>
    <row r="60">
      <c r="B60" s="86"/>
      <c r="C60" s="86"/>
      <c r="D60" s="86"/>
    </row>
    <row r="61">
      <c r="B61" s="86"/>
      <c r="C61" s="86"/>
      <c r="D61" s="86"/>
    </row>
    <row r="62">
      <c r="B62" s="86"/>
      <c r="C62" s="86"/>
      <c r="D62" s="86"/>
    </row>
    <row r="63">
      <c r="B63" s="86"/>
      <c r="C63" s="86"/>
      <c r="D63" s="86"/>
    </row>
    <row r="64">
      <c r="B64" s="86"/>
      <c r="C64" s="86"/>
      <c r="D64" s="86"/>
    </row>
    <row r="65">
      <c r="B65" s="86"/>
      <c r="C65" s="86"/>
      <c r="D65" s="86"/>
    </row>
    <row r="66">
      <c r="B66" s="86"/>
      <c r="C66" s="86"/>
      <c r="D66" s="86"/>
    </row>
    <row r="67">
      <c r="B67" s="86"/>
      <c r="C67" s="86"/>
      <c r="D67" s="86"/>
    </row>
    <row r="68">
      <c r="B68" s="86"/>
      <c r="C68" s="86"/>
      <c r="D68" s="86"/>
    </row>
    <row r="69">
      <c r="B69" s="86"/>
      <c r="C69" s="86"/>
      <c r="D69" s="86"/>
    </row>
    <row r="70">
      <c r="B70" s="86"/>
      <c r="C70" s="86"/>
      <c r="D70" s="86"/>
    </row>
    <row r="71">
      <c r="B71" s="86"/>
      <c r="C71" s="86"/>
      <c r="D71" s="86"/>
    </row>
    <row r="72">
      <c r="B72" s="86"/>
      <c r="C72" s="86"/>
      <c r="D72" s="86"/>
    </row>
    <row r="73">
      <c r="B73" s="86"/>
      <c r="C73" s="86"/>
      <c r="D73" s="86"/>
    </row>
    <row r="74">
      <c r="B74" s="86"/>
      <c r="C74" s="86"/>
      <c r="D74" s="86"/>
    </row>
    <row r="75">
      <c r="B75" s="86"/>
      <c r="C75" s="86"/>
      <c r="D75" s="86"/>
    </row>
    <row r="76">
      <c r="B76" s="86"/>
      <c r="C76" s="86"/>
      <c r="D76" s="86"/>
    </row>
    <row r="77">
      <c r="B77" s="86"/>
      <c r="C77" s="86"/>
      <c r="D77" s="86"/>
    </row>
    <row r="78">
      <c r="B78" s="86"/>
      <c r="C78" s="86"/>
      <c r="D78" s="86"/>
    </row>
    <row r="79">
      <c r="B79" s="86"/>
      <c r="C79" s="86"/>
      <c r="D79" s="86"/>
    </row>
    <row r="80">
      <c r="B80" s="86"/>
      <c r="C80" s="86"/>
      <c r="D80" s="86"/>
    </row>
    <row r="81">
      <c r="B81" s="86"/>
      <c r="C81" s="86"/>
      <c r="D81" s="86"/>
    </row>
    <row r="82">
      <c r="B82" s="86"/>
      <c r="C82" s="86"/>
      <c r="D82" s="86"/>
    </row>
    <row r="83">
      <c r="B83" s="86"/>
      <c r="C83" s="86"/>
      <c r="D83" s="86"/>
    </row>
    <row r="84">
      <c r="B84" s="86"/>
      <c r="C84" s="86"/>
      <c r="D84" s="86"/>
    </row>
    <row r="85">
      <c r="B85" s="86"/>
      <c r="C85" s="86"/>
      <c r="D85" s="86"/>
    </row>
    <row r="86">
      <c r="B86" s="86"/>
      <c r="C86" s="86"/>
      <c r="D86" s="86"/>
    </row>
    <row r="87">
      <c r="B87" s="86"/>
      <c r="C87" s="86"/>
      <c r="D87" s="86"/>
    </row>
    <row r="88">
      <c r="B88" s="86"/>
      <c r="C88" s="86"/>
      <c r="D88" s="86"/>
    </row>
    <row r="89">
      <c r="B89" s="86"/>
      <c r="C89" s="86"/>
      <c r="D89" s="86"/>
    </row>
    <row r="90">
      <c r="B90" s="86"/>
      <c r="C90" s="86"/>
      <c r="D90" s="86"/>
    </row>
    <row r="91">
      <c r="B91" s="86"/>
      <c r="C91" s="86"/>
      <c r="D91" s="86"/>
    </row>
    <row r="92">
      <c r="B92" s="86"/>
      <c r="C92" s="86"/>
      <c r="D92" s="86"/>
    </row>
    <row r="93">
      <c r="B93" s="86"/>
      <c r="C93" s="86"/>
      <c r="D93" s="86"/>
    </row>
    <row r="94">
      <c r="B94" s="86"/>
      <c r="C94" s="86"/>
      <c r="D94" s="86"/>
    </row>
    <row r="95">
      <c r="B95" s="86"/>
      <c r="C95" s="86"/>
      <c r="D95" s="86"/>
    </row>
    <row r="96">
      <c r="B96" s="86"/>
      <c r="C96" s="86"/>
      <c r="D96" s="86"/>
    </row>
    <row r="97">
      <c r="B97" s="86"/>
      <c r="C97" s="86"/>
      <c r="D97" s="86"/>
    </row>
    <row r="98">
      <c r="B98" s="86"/>
      <c r="C98" s="86"/>
      <c r="D98" s="86"/>
    </row>
    <row r="99">
      <c r="B99" s="86"/>
      <c r="C99" s="86"/>
      <c r="D99" s="86"/>
    </row>
    <row r="100">
      <c r="B100" s="86"/>
      <c r="C100" s="86"/>
      <c r="D100" s="86"/>
    </row>
    <row r="101">
      <c r="B101" s="86"/>
      <c r="C101" s="86"/>
      <c r="D101" s="86"/>
    </row>
    <row r="102">
      <c r="B102" s="86"/>
      <c r="C102" s="86"/>
      <c r="D102" s="86"/>
    </row>
    <row r="103">
      <c r="B103" s="86"/>
      <c r="C103" s="86"/>
      <c r="D103" s="86"/>
    </row>
    <row r="104">
      <c r="B104" s="86"/>
      <c r="C104" s="86"/>
      <c r="D104" s="86"/>
    </row>
    <row r="105">
      <c r="B105" s="86"/>
      <c r="C105" s="86"/>
      <c r="D105" s="86"/>
    </row>
    <row r="106">
      <c r="B106" s="86"/>
      <c r="C106" s="86"/>
      <c r="D106" s="86"/>
    </row>
    <row r="107">
      <c r="B107" s="86"/>
      <c r="C107" s="86"/>
      <c r="D107" s="86"/>
    </row>
    <row r="108">
      <c r="B108" s="86"/>
      <c r="C108" s="86"/>
      <c r="D108" s="86"/>
    </row>
    <row r="109">
      <c r="B109" s="86"/>
      <c r="C109" s="86"/>
      <c r="D109" s="86"/>
    </row>
    <row r="110">
      <c r="B110" s="86"/>
      <c r="C110" s="86"/>
      <c r="D110" s="86"/>
    </row>
    <row r="111">
      <c r="B111" s="86"/>
      <c r="C111" s="86"/>
      <c r="D111" s="86"/>
    </row>
    <row r="112">
      <c r="B112" s="86"/>
      <c r="C112" s="86"/>
      <c r="D112" s="86"/>
    </row>
    <row r="113">
      <c r="B113" s="86"/>
      <c r="C113" s="86"/>
      <c r="D113" s="86"/>
    </row>
    <row r="114">
      <c r="B114" s="86"/>
      <c r="C114" s="86"/>
      <c r="D114" s="86"/>
    </row>
    <row r="115">
      <c r="B115" s="86"/>
      <c r="C115" s="86"/>
      <c r="D115" s="86"/>
    </row>
    <row r="116">
      <c r="B116" s="86"/>
      <c r="C116" s="86"/>
      <c r="D116" s="86"/>
    </row>
    <row r="117">
      <c r="B117" s="86"/>
      <c r="C117" s="86"/>
      <c r="D117" s="86"/>
    </row>
    <row r="118">
      <c r="B118" s="86"/>
      <c r="C118" s="86"/>
      <c r="D118" s="86"/>
    </row>
    <row r="119">
      <c r="B119" s="86"/>
      <c r="C119" s="86"/>
      <c r="D119" s="86"/>
    </row>
    <row r="120">
      <c r="B120" s="86"/>
      <c r="C120" s="86"/>
      <c r="D120" s="86"/>
    </row>
    <row r="121">
      <c r="B121" s="86"/>
      <c r="C121" s="86"/>
      <c r="D121" s="86"/>
    </row>
    <row r="122">
      <c r="B122" s="86"/>
      <c r="C122" s="86"/>
      <c r="D122" s="86"/>
    </row>
    <row r="123">
      <c r="B123" s="86"/>
      <c r="C123" s="86"/>
      <c r="D123" s="86"/>
    </row>
    <row r="124">
      <c r="B124" s="86"/>
      <c r="C124" s="86"/>
      <c r="D124" s="86"/>
    </row>
    <row r="125">
      <c r="B125" s="86"/>
      <c r="C125" s="86"/>
      <c r="D125" s="86"/>
    </row>
    <row r="126">
      <c r="B126" s="86"/>
      <c r="C126" s="86"/>
      <c r="D126" s="86"/>
    </row>
    <row r="127">
      <c r="B127" s="86"/>
      <c r="C127" s="86"/>
      <c r="D127" s="86"/>
    </row>
    <row r="128">
      <c r="B128" s="86"/>
      <c r="C128" s="86"/>
      <c r="D128" s="86"/>
    </row>
    <row r="129">
      <c r="B129" s="86"/>
      <c r="C129" s="86"/>
      <c r="D129" s="86"/>
    </row>
    <row r="130">
      <c r="B130" s="86"/>
      <c r="C130" s="86"/>
      <c r="D130" s="86"/>
    </row>
    <row r="131">
      <c r="B131" s="86"/>
      <c r="C131" s="86"/>
      <c r="D131" s="86"/>
    </row>
    <row r="132">
      <c r="B132" s="86"/>
      <c r="C132" s="86"/>
      <c r="D132" s="86"/>
    </row>
    <row r="133">
      <c r="B133" s="86"/>
      <c r="C133" s="86"/>
      <c r="D133" s="86"/>
    </row>
    <row r="134">
      <c r="B134" s="86"/>
      <c r="C134" s="86"/>
      <c r="D134" s="86"/>
    </row>
    <row r="135">
      <c r="B135" s="86"/>
      <c r="C135" s="86"/>
      <c r="D135" s="86"/>
    </row>
    <row r="136">
      <c r="B136" s="86"/>
      <c r="C136" s="86"/>
      <c r="D136" s="86"/>
    </row>
    <row r="137">
      <c r="B137" s="86"/>
      <c r="C137" s="86"/>
      <c r="D137" s="86"/>
    </row>
    <row r="138">
      <c r="B138" s="86"/>
      <c r="C138" s="86"/>
      <c r="D138" s="86"/>
    </row>
    <row r="139">
      <c r="B139" s="86"/>
      <c r="C139" s="86"/>
      <c r="D139" s="86"/>
    </row>
    <row r="140">
      <c r="B140" s="86"/>
      <c r="C140" s="86"/>
      <c r="D140" s="86"/>
    </row>
    <row r="141">
      <c r="B141" s="86"/>
      <c r="C141" s="86"/>
      <c r="D141" s="86"/>
    </row>
    <row r="142">
      <c r="B142" s="86"/>
      <c r="C142" s="86"/>
      <c r="D142" s="86"/>
    </row>
    <row r="143">
      <c r="B143" s="86"/>
      <c r="C143" s="86"/>
      <c r="D143" s="86"/>
    </row>
    <row r="144">
      <c r="B144" s="86"/>
      <c r="C144" s="86"/>
      <c r="D144" s="86"/>
    </row>
    <row r="145">
      <c r="B145" s="86"/>
      <c r="C145" s="86"/>
      <c r="D145" s="86"/>
    </row>
    <row r="146">
      <c r="B146" s="86"/>
      <c r="C146" s="86"/>
      <c r="D146" s="86"/>
    </row>
    <row r="147">
      <c r="B147" s="86"/>
      <c r="C147" s="86"/>
      <c r="D147" s="86"/>
    </row>
    <row r="148">
      <c r="B148" s="86"/>
      <c r="C148" s="86"/>
      <c r="D148" s="86"/>
    </row>
    <row r="149">
      <c r="B149" s="86"/>
      <c r="C149" s="86"/>
      <c r="D149" s="86"/>
    </row>
    <row r="150">
      <c r="B150" s="86"/>
      <c r="C150" s="86"/>
      <c r="D150" s="86"/>
    </row>
    <row r="151">
      <c r="B151" s="86"/>
      <c r="C151" s="86"/>
      <c r="D151" s="86"/>
    </row>
    <row r="152">
      <c r="B152" s="86"/>
      <c r="C152" s="86"/>
      <c r="D152" s="86"/>
    </row>
    <row r="153">
      <c r="B153" s="86"/>
      <c r="C153" s="86"/>
      <c r="D153" s="86"/>
    </row>
    <row r="154">
      <c r="B154" s="86"/>
      <c r="C154" s="86"/>
      <c r="D154" s="86"/>
    </row>
    <row r="155">
      <c r="B155" s="86"/>
      <c r="C155" s="86"/>
      <c r="D155" s="86"/>
    </row>
    <row r="156">
      <c r="B156" s="86"/>
      <c r="C156" s="86"/>
      <c r="D156" s="86"/>
    </row>
    <row r="157">
      <c r="B157" s="86"/>
      <c r="C157" s="86"/>
      <c r="D157" s="86"/>
    </row>
    <row r="158">
      <c r="B158" s="86"/>
      <c r="C158" s="86"/>
      <c r="D158" s="86"/>
    </row>
    <row r="159">
      <c r="B159" s="86"/>
      <c r="C159" s="86"/>
      <c r="D159" s="86"/>
    </row>
    <row r="160">
      <c r="B160" s="86"/>
      <c r="C160" s="86"/>
      <c r="D160" s="86"/>
    </row>
    <row r="161">
      <c r="B161" s="86"/>
      <c r="C161" s="86"/>
      <c r="D161" s="86"/>
    </row>
    <row r="162">
      <c r="B162" s="86"/>
      <c r="C162" s="86"/>
      <c r="D162" s="86"/>
    </row>
    <row r="163">
      <c r="B163" s="86"/>
      <c r="C163" s="86"/>
      <c r="D163" s="86"/>
    </row>
    <row r="164">
      <c r="B164" s="86"/>
      <c r="C164" s="86"/>
      <c r="D164" s="86"/>
    </row>
    <row r="165">
      <c r="B165" s="86"/>
      <c r="C165" s="86"/>
      <c r="D165" s="86"/>
    </row>
    <row r="166">
      <c r="B166" s="86"/>
      <c r="C166" s="86"/>
      <c r="D166" s="86"/>
    </row>
    <row r="167">
      <c r="B167" s="86"/>
      <c r="C167" s="86"/>
      <c r="D167" s="86"/>
    </row>
    <row r="168">
      <c r="B168" s="86"/>
      <c r="C168" s="86"/>
      <c r="D168" s="86"/>
    </row>
    <row r="169">
      <c r="B169" s="86"/>
      <c r="C169" s="86"/>
      <c r="D169" s="86"/>
    </row>
    <row r="170">
      <c r="B170" s="86"/>
      <c r="C170" s="86"/>
      <c r="D170" s="86"/>
    </row>
    <row r="171">
      <c r="B171" s="86"/>
      <c r="C171" s="86"/>
      <c r="D171" s="86"/>
    </row>
    <row r="172">
      <c r="B172" s="86"/>
      <c r="C172" s="86"/>
      <c r="D172" s="86"/>
    </row>
    <row r="173">
      <c r="B173" s="86"/>
      <c r="C173" s="86"/>
      <c r="D173" s="86"/>
    </row>
    <row r="174">
      <c r="B174" s="86"/>
      <c r="C174" s="86"/>
      <c r="D174" s="86"/>
    </row>
    <row r="175">
      <c r="B175" s="86"/>
      <c r="C175" s="86"/>
      <c r="D175" s="86"/>
    </row>
    <row r="176">
      <c r="B176" s="86"/>
      <c r="C176" s="86"/>
      <c r="D176" s="86"/>
    </row>
    <row r="177">
      <c r="B177" s="86"/>
      <c r="C177" s="86"/>
      <c r="D177" s="86"/>
    </row>
    <row r="178">
      <c r="B178" s="86"/>
      <c r="C178" s="86"/>
      <c r="D178" s="86"/>
    </row>
    <row r="179">
      <c r="B179" s="86"/>
      <c r="C179" s="86"/>
      <c r="D179" s="86"/>
    </row>
    <row r="180">
      <c r="B180" s="86"/>
      <c r="C180" s="86"/>
      <c r="D180" s="86"/>
    </row>
    <row r="181">
      <c r="B181" s="86"/>
      <c r="C181" s="86"/>
      <c r="D181" s="86"/>
    </row>
    <row r="182">
      <c r="B182" s="86"/>
      <c r="C182" s="86"/>
      <c r="D182" s="86"/>
    </row>
    <row r="183">
      <c r="B183" s="86"/>
      <c r="C183" s="86"/>
      <c r="D183" s="86"/>
    </row>
    <row r="184">
      <c r="B184" s="86"/>
      <c r="C184" s="86"/>
      <c r="D184" s="86"/>
    </row>
    <row r="185">
      <c r="B185" s="86"/>
      <c r="C185" s="86"/>
      <c r="D185" s="86"/>
    </row>
    <row r="186">
      <c r="B186" s="86"/>
      <c r="C186" s="86"/>
      <c r="D186" s="86"/>
    </row>
    <row r="187">
      <c r="B187" s="86"/>
      <c r="C187" s="86"/>
      <c r="D187" s="86"/>
    </row>
    <row r="188">
      <c r="B188" s="86"/>
      <c r="C188" s="86"/>
      <c r="D188" s="86"/>
    </row>
    <row r="189">
      <c r="B189" s="86"/>
      <c r="C189" s="86"/>
      <c r="D189" s="86"/>
    </row>
    <row r="190">
      <c r="B190" s="86"/>
      <c r="C190" s="86"/>
      <c r="D190" s="86"/>
    </row>
    <row r="191">
      <c r="B191" s="86"/>
      <c r="C191" s="86"/>
      <c r="D191" s="86"/>
    </row>
    <row r="192">
      <c r="B192" s="86"/>
      <c r="C192" s="86"/>
      <c r="D192" s="86"/>
    </row>
    <row r="193">
      <c r="B193" s="86"/>
      <c r="C193" s="86"/>
      <c r="D193" s="86"/>
    </row>
    <row r="194">
      <c r="B194" s="86"/>
      <c r="C194" s="86"/>
      <c r="D194" s="86"/>
    </row>
    <row r="195">
      <c r="B195" s="86"/>
      <c r="C195" s="86"/>
      <c r="D195" s="86"/>
    </row>
    <row r="196">
      <c r="B196" s="86"/>
      <c r="C196" s="86"/>
      <c r="D196" s="86"/>
    </row>
    <row r="197">
      <c r="B197" s="86"/>
      <c r="C197" s="86"/>
      <c r="D197" s="86"/>
    </row>
    <row r="198">
      <c r="B198" s="86"/>
      <c r="C198" s="86"/>
      <c r="D198" s="86"/>
    </row>
    <row r="199">
      <c r="B199" s="86"/>
      <c r="C199" s="86"/>
      <c r="D199" s="86"/>
    </row>
    <row r="200">
      <c r="B200" s="86"/>
      <c r="C200" s="86"/>
      <c r="D200" s="86"/>
    </row>
    <row r="201">
      <c r="B201" s="86"/>
      <c r="C201" s="86"/>
      <c r="D201" s="86"/>
    </row>
    <row r="202">
      <c r="B202" s="86"/>
      <c r="C202" s="86"/>
      <c r="D202" s="86"/>
    </row>
    <row r="203">
      <c r="B203" s="86"/>
      <c r="C203" s="86"/>
      <c r="D203" s="86"/>
    </row>
    <row r="204">
      <c r="B204" s="86"/>
      <c r="C204" s="86"/>
      <c r="D204" s="86"/>
    </row>
    <row r="205">
      <c r="B205" s="86"/>
      <c r="C205" s="86"/>
      <c r="D205" s="86"/>
    </row>
    <row r="206">
      <c r="B206" s="86"/>
      <c r="C206" s="86"/>
      <c r="D206" s="86"/>
    </row>
    <row r="207">
      <c r="B207" s="86"/>
      <c r="C207" s="86"/>
      <c r="D207" s="86"/>
    </row>
    <row r="208">
      <c r="B208" s="86"/>
      <c r="C208" s="86"/>
      <c r="D208" s="86"/>
    </row>
    <row r="209">
      <c r="B209" s="86"/>
      <c r="C209" s="86"/>
      <c r="D209" s="86"/>
    </row>
    <row r="210">
      <c r="B210" s="86"/>
      <c r="C210" s="86"/>
      <c r="D210" s="86"/>
    </row>
    <row r="211">
      <c r="B211" s="86"/>
      <c r="C211" s="86"/>
      <c r="D211" s="86"/>
    </row>
    <row r="212">
      <c r="B212" s="86"/>
      <c r="C212" s="86"/>
      <c r="D212" s="86"/>
    </row>
    <row r="213">
      <c r="B213" s="86"/>
      <c r="C213" s="86"/>
      <c r="D213" s="86"/>
    </row>
    <row r="214">
      <c r="B214" s="86"/>
      <c r="C214" s="86"/>
      <c r="D214" s="86"/>
    </row>
    <row r="215">
      <c r="B215" s="86"/>
      <c r="C215" s="86"/>
      <c r="D215" s="86"/>
    </row>
    <row r="216">
      <c r="B216" s="86"/>
      <c r="C216" s="86"/>
      <c r="D216" s="86"/>
    </row>
    <row r="217">
      <c r="B217" s="86"/>
      <c r="C217" s="86"/>
      <c r="D217" s="86"/>
    </row>
    <row r="218">
      <c r="B218" s="86"/>
      <c r="C218" s="86"/>
      <c r="D218" s="86"/>
    </row>
    <row r="219">
      <c r="B219" s="86"/>
      <c r="C219" s="86"/>
      <c r="D219" s="86"/>
    </row>
    <row r="220">
      <c r="B220" s="86"/>
      <c r="C220" s="86"/>
      <c r="D220" s="86"/>
    </row>
    <row r="221">
      <c r="B221" s="86"/>
      <c r="C221" s="86"/>
      <c r="D221" s="86"/>
    </row>
    <row r="222">
      <c r="B222" s="86"/>
      <c r="C222" s="86"/>
      <c r="D222" s="86"/>
    </row>
    <row r="223">
      <c r="B223" s="86"/>
      <c r="C223" s="86"/>
      <c r="D223" s="86"/>
    </row>
    <row r="224">
      <c r="B224" s="86"/>
      <c r="C224" s="86"/>
      <c r="D224" s="86"/>
    </row>
    <row r="225">
      <c r="B225" s="86"/>
      <c r="C225" s="86"/>
      <c r="D225" s="86"/>
    </row>
    <row r="226">
      <c r="B226" s="86"/>
      <c r="C226" s="86"/>
      <c r="D226" s="86"/>
    </row>
    <row r="227">
      <c r="B227" s="86"/>
      <c r="C227" s="86"/>
      <c r="D227" s="86"/>
    </row>
    <row r="228">
      <c r="B228" s="86"/>
      <c r="C228" s="86"/>
      <c r="D228" s="86"/>
    </row>
    <row r="229">
      <c r="B229" s="86"/>
      <c r="C229" s="86"/>
      <c r="D229" s="86"/>
    </row>
    <row r="230">
      <c r="B230" s="86"/>
      <c r="C230" s="86"/>
      <c r="D230" s="86"/>
    </row>
    <row r="231">
      <c r="B231" s="86"/>
      <c r="C231" s="86"/>
      <c r="D231" s="86"/>
    </row>
    <row r="232">
      <c r="B232" s="86"/>
      <c r="C232" s="86"/>
      <c r="D232" s="86"/>
    </row>
    <row r="233">
      <c r="B233" s="86"/>
      <c r="C233" s="86"/>
      <c r="D233" s="86"/>
    </row>
    <row r="234">
      <c r="B234" s="86"/>
      <c r="C234" s="86"/>
      <c r="D234" s="86"/>
    </row>
    <row r="235">
      <c r="B235" s="86"/>
      <c r="C235" s="86"/>
      <c r="D235" s="86"/>
    </row>
    <row r="236">
      <c r="B236" s="86"/>
      <c r="C236" s="86"/>
      <c r="D236" s="86"/>
    </row>
    <row r="237">
      <c r="B237" s="86"/>
      <c r="C237" s="86"/>
      <c r="D237" s="86"/>
    </row>
    <row r="238">
      <c r="B238" s="86"/>
      <c r="C238" s="86"/>
      <c r="D238" s="86"/>
    </row>
    <row r="239">
      <c r="B239" s="86"/>
      <c r="C239" s="86"/>
      <c r="D239" s="86"/>
    </row>
    <row r="240">
      <c r="B240" s="86"/>
      <c r="C240" s="86"/>
      <c r="D240" s="86"/>
    </row>
    <row r="241">
      <c r="B241" s="86"/>
      <c r="C241" s="86"/>
      <c r="D241" s="86"/>
    </row>
    <row r="242">
      <c r="B242" s="86"/>
      <c r="C242" s="86"/>
      <c r="D242" s="86"/>
    </row>
    <row r="243">
      <c r="B243" s="86"/>
      <c r="C243" s="86"/>
      <c r="D243" s="86"/>
    </row>
    <row r="244">
      <c r="B244" s="86"/>
      <c r="C244" s="86"/>
      <c r="D244" s="86"/>
    </row>
    <row r="245">
      <c r="B245" s="86"/>
      <c r="C245" s="86"/>
      <c r="D245" s="86"/>
    </row>
    <row r="246">
      <c r="B246" s="86"/>
      <c r="C246" s="86"/>
      <c r="D246" s="86"/>
    </row>
    <row r="247">
      <c r="B247" s="86"/>
      <c r="C247" s="86"/>
      <c r="D247" s="86"/>
    </row>
    <row r="248">
      <c r="B248" s="86"/>
      <c r="C248" s="86"/>
      <c r="D248" s="86"/>
    </row>
    <row r="249">
      <c r="B249" s="86"/>
      <c r="C249" s="86"/>
      <c r="D249" s="86"/>
    </row>
    <row r="250">
      <c r="B250" s="86"/>
      <c r="C250" s="86"/>
      <c r="D250" s="86"/>
    </row>
    <row r="251">
      <c r="B251" s="86"/>
      <c r="C251" s="86"/>
      <c r="D251" s="86"/>
    </row>
    <row r="252">
      <c r="B252" s="86"/>
      <c r="C252" s="86"/>
      <c r="D252" s="86"/>
    </row>
    <row r="253">
      <c r="B253" s="86"/>
      <c r="C253" s="86"/>
      <c r="D253" s="86"/>
    </row>
    <row r="254">
      <c r="B254" s="86"/>
      <c r="C254" s="86"/>
      <c r="D254" s="86"/>
    </row>
    <row r="255">
      <c r="B255" s="86"/>
      <c r="C255" s="86"/>
      <c r="D255" s="86"/>
    </row>
    <row r="256">
      <c r="B256" s="86"/>
      <c r="C256" s="86"/>
      <c r="D256" s="86"/>
    </row>
    <row r="257">
      <c r="B257" s="86"/>
      <c r="C257" s="86"/>
      <c r="D257" s="86"/>
    </row>
    <row r="258">
      <c r="B258" s="86"/>
      <c r="C258" s="86"/>
      <c r="D258" s="86"/>
    </row>
    <row r="259">
      <c r="B259" s="86"/>
      <c r="C259" s="86"/>
      <c r="D259" s="86"/>
    </row>
    <row r="260">
      <c r="B260" s="86"/>
      <c r="C260" s="86"/>
      <c r="D260" s="86"/>
    </row>
    <row r="261">
      <c r="B261" s="86"/>
      <c r="C261" s="86"/>
      <c r="D261" s="86"/>
    </row>
    <row r="262">
      <c r="B262" s="86"/>
      <c r="C262" s="86"/>
      <c r="D262" s="86"/>
    </row>
    <row r="263">
      <c r="B263" s="86"/>
      <c r="C263" s="86"/>
      <c r="D263" s="86"/>
    </row>
    <row r="264">
      <c r="B264" s="86"/>
      <c r="C264" s="86"/>
      <c r="D264" s="86"/>
    </row>
    <row r="265">
      <c r="B265" s="86"/>
      <c r="C265" s="86"/>
      <c r="D265" s="86"/>
    </row>
    <row r="266">
      <c r="B266" s="86"/>
      <c r="C266" s="86"/>
      <c r="D266" s="86"/>
    </row>
    <row r="267">
      <c r="B267" s="86"/>
      <c r="C267" s="86"/>
      <c r="D267" s="86"/>
    </row>
    <row r="268">
      <c r="B268" s="86"/>
      <c r="C268" s="86"/>
      <c r="D268" s="86"/>
    </row>
    <row r="269">
      <c r="B269" s="86"/>
      <c r="C269" s="86"/>
      <c r="D269" s="86"/>
    </row>
    <row r="270">
      <c r="B270" s="86"/>
      <c r="C270" s="86"/>
      <c r="D270" s="86"/>
    </row>
    <row r="271">
      <c r="B271" s="86"/>
      <c r="C271" s="86"/>
      <c r="D271" s="86"/>
    </row>
    <row r="272">
      <c r="B272" s="86"/>
      <c r="C272" s="86"/>
      <c r="D272" s="86"/>
    </row>
    <row r="273">
      <c r="B273" s="86"/>
      <c r="C273" s="86"/>
      <c r="D273" s="86"/>
    </row>
    <row r="274">
      <c r="B274" s="86"/>
      <c r="C274" s="86"/>
      <c r="D274" s="86"/>
    </row>
    <row r="275">
      <c r="B275" s="86"/>
      <c r="C275" s="86"/>
      <c r="D275" s="86"/>
    </row>
    <row r="276">
      <c r="B276" s="86"/>
      <c r="C276" s="86"/>
      <c r="D276" s="86"/>
    </row>
    <row r="277">
      <c r="B277" s="86"/>
      <c r="C277" s="86"/>
      <c r="D277" s="86"/>
    </row>
    <row r="278">
      <c r="B278" s="86"/>
      <c r="C278" s="86"/>
      <c r="D278" s="86"/>
    </row>
    <row r="279">
      <c r="B279" s="86"/>
      <c r="C279" s="86"/>
      <c r="D279" s="86"/>
    </row>
    <row r="280">
      <c r="B280" s="86"/>
      <c r="C280" s="86"/>
      <c r="D280" s="86"/>
    </row>
    <row r="281">
      <c r="B281" s="86"/>
      <c r="C281" s="86"/>
      <c r="D281" s="86"/>
    </row>
    <row r="282">
      <c r="B282" s="86"/>
      <c r="C282" s="86"/>
      <c r="D282" s="86"/>
    </row>
    <row r="283">
      <c r="B283" s="86"/>
      <c r="C283" s="86"/>
      <c r="D283" s="86"/>
    </row>
    <row r="284">
      <c r="B284" s="86"/>
      <c r="C284" s="86"/>
      <c r="D284" s="86"/>
    </row>
    <row r="285">
      <c r="B285" s="86"/>
      <c r="C285" s="86"/>
      <c r="D285" s="86"/>
    </row>
    <row r="286">
      <c r="B286" s="86"/>
      <c r="C286" s="86"/>
      <c r="D286" s="86"/>
    </row>
    <row r="287">
      <c r="B287" s="86"/>
      <c r="C287" s="86"/>
      <c r="D287" s="86"/>
    </row>
    <row r="288">
      <c r="B288" s="86"/>
      <c r="C288" s="86"/>
      <c r="D288" s="86"/>
    </row>
    <row r="289">
      <c r="B289" s="86"/>
      <c r="C289" s="86"/>
      <c r="D289" s="86"/>
    </row>
    <row r="290">
      <c r="B290" s="86"/>
      <c r="C290" s="86"/>
      <c r="D290" s="86"/>
    </row>
    <row r="291">
      <c r="B291" s="86"/>
      <c r="C291" s="86"/>
      <c r="D291" s="86"/>
    </row>
    <row r="292">
      <c r="B292" s="86"/>
      <c r="C292" s="86"/>
      <c r="D292" s="86"/>
    </row>
    <row r="293">
      <c r="B293" s="86"/>
      <c r="C293" s="86"/>
      <c r="D293" s="86"/>
    </row>
    <row r="294">
      <c r="B294" s="86"/>
      <c r="C294" s="86"/>
      <c r="D294" s="86"/>
    </row>
    <row r="295">
      <c r="B295" s="86"/>
      <c r="C295" s="86"/>
      <c r="D295" s="86"/>
    </row>
    <row r="296">
      <c r="B296" s="86"/>
      <c r="C296" s="86"/>
      <c r="D296" s="86"/>
    </row>
    <row r="297">
      <c r="B297" s="86"/>
      <c r="C297" s="86"/>
      <c r="D297" s="86"/>
    </row>
    <row r="298">
      <c r="B298" s="86"/>
      <c r="C298" s="86"/>
      <c r="D298" s="86"/>
    </row>
    <row r="299">
      <c r="B299" s="86"/>
      <c r="C299" s="86"/>
      <c r="D299" s="86"/>
    </row>
    <row r="300">
      <c r="B300" s="86"/>
      <c r="C300" s="86"/>
      <c r="D300" s="86"/>
    </row>
    <row r="301">
      <c r="B301" s="86"/>
      <c r="C301" s="86"/>
      <c r="D301" s="86"/>
    </row>
    <row r="302">
      <c r="B302" s="86"/>
      <c r="C302" s="86"/>
      <c r="D302" s="86"/>
    </row>
    <row r="303">
      <c r="B303" s="86"/>
      <c r="C303" s="86"/>
      <c r="D303" s="86"/>
    </row>
    <row r="304">
      <c r="B304" s="86"/>
      <c r="C304" s="86"/>
      <c r="D304" s="86"/>
    </row>
    <row r="305">
      <c r="B305" s="86"/>
      <c r="C305" s="86"/>
      <c r="D305" s="86"/>
    </row>
    <row r="306">
      <c r="B306" s="86"/>
      <c r="C306" s="86"/>
      <c r="D306" s="86"/>
    </row>
    <row r="307">
      <c r="B307" s="86"/>
      <c r="C307" s="86"/>
      <c r="D307" s="86"/>
    </row>
    <row r="308">
      <c r="B308" s="86"/>
      <c r="C308" s="86"/>
      <c r="D308" s="86"/>
    </row>
    <row r="309">
      <c r="B309" s="86"/>
      <c r="C309" s="86"/>
      <c r="D309" s="86"/>
    </row>
    <row r="310">
      <c r="B310" s="86"/>
      <c r="C310" s="86"/>
      <c r="D310" s="86"/>
    </row>
    <row r="311">
      <c r="B311" s="86"/>
      <c r="C311" s="86"/>
      <c r="D311" s="86"/>
    </row>
    <row r="312">
      <c r="B312" s="86"/>
      <c r="C312" s="86"/>
      <c r="D312" s="86"/>
    </row>
    <row r="313">
      <c r="B313" s="86"/>
      <c r="C313" s="86"/>
      <c r="D313" s="86"/>
    </row>
    <row r="314">
      <c r="B314" s="86"/>
      <c r="C314" s="86"/>
      <c r="D314" s="86"/>
    </row>
    <row r="315">
      <c r="B315" s="86"/>
      <c r="C315" s="86"/>
      <c r="D315" s="86"/>
    </row>
    <row r="316">
      <c r="B316" s="86"/>
      <c r="C316" s="86"/>
      <c r="D316" s="86"/>
    </row>
    <row r="317">
      <c r="B317" s="86"/>
      <c r="C317" s="86"/>
      <c r="D317" s="86"/>
    </row>
    <row r="318">
      <c r="B318" s="86"/>
      <c r="C318" s="86"/>
      <c r="D318" s="86"/>
    </row>
    <row r="319">
      <c r="B319" s="86"/>
      <c r="C319" s="86"/>
      <c r="D319" s="86"/>
    </row>
    <row r="320">
      <c r="B320" s="86"/>
      <c r="C320" s="86"/>
      <c r="D320" s="86"/>
    </row>
    <row r="321">
      <c r="B321" s="86"/>
      <c r="C321" s="86"/>
      <c r="D321" s="86"/>
    </row>
    <row r="322">
      <c r="B322" s="86"/>
      <c r="C322" s="86"/>
      <c r="D322" s="86"/>
    </row>
    <row r="323">
      <c r="B323" s="86"/>
      <c r="C323" s="86"/>
      <c r="D323" s="86"/>
    </row>
    <row r="324">
      <c r="B324" s="86"/>
      <c r="C324" s="86"/>
      <c r="D324" s="86"/>
    </row>
    <row r="325">
      <c r="B325" s="86"/>
      <c r="C325" s="86"/>
      <c r="D325" s="86"/>
    </row>
    <row r="326">
      <c r="B326" s="86"/>
      <c r="C326" s="86"/>
      <c r="D326" s="86"/>
    </row>
    <row r="327">
      <c r="B327" s="86"/>
      <c r="C327" s="86"/>
      <c r="D327" s="86"/>
    </row>
    <row r="328">
      <c r="B328" s="86"/>
      <c r="C328" s="86"/>
      <c r="D328" s="86"/>
    </row>
    <row r="329">
      <c r="B329" s="86"/>
      <c r="C329" s="86"/>
      <c r="D329" s="86"/>
    </row>
    <row r="330">
      <c r="B330" s="86"/>
      <c r="C330" s="86"/>
      <c r="D330" s="86"/>
    </row>
    <row r="331">
      <c r="B331" s="86"/>
      <c r="C331" s="86"/>
      <c r="D331" s="86"/>
    </row>
    <row r="332">
      <c r="B332" s="86"/>
      <c r="C332" s="86"/>
      <c r="D332" s="86"/>
    </row>
    <row r="333">
      <c r="B333" s="86"/>
      <c r="C333" s="86"/>
      <c r="D333" s="86"/>
    </row>
    <row r="334">
      <c r="B334" s="86"/>
      <c r="C334" s="86"/>
      <c r="D334" s="86"/>
    </row>
    <row r="335">
      <c r="B335" s="86"/>
      <c r="C335" s="86"/>
      <c r="D335" s="86"/>
    </row>
    <row r="336">
      <c r="B336" s="86"/>
      <c r="C336" s="86"/>
      <c r="D336" s="86"/>
    </row>
    <row r="337">
      <c r="B337" s="86"/>
      <c r="C337" s="86"/>
      <c r="D337" s="86"/>
    </row>
    <row r="338">
      <c r="B338" s="86"/>
      <c r="C338" s="86"/>
      <c r="D338" s="86"/>
    </row>
    <row r="339">
      <c r="B339" s="86"/>
      <c r="C339" s="86"/>
      <c r="D339" s="86"/>
    </row>
    <row r="340">
      <c r="B340" s="86"/>
      <c r="C340" s="86"/>
      <c r="D340" s="86"/>
    </row>
    <row r="341">
      <c r="B341" s="86"/>
      <c r="C341" s="86"/>
      <c r="D341" s="86"/>
    </row>
    <row r="342">
      <c r="B342" s="86"/>
      <c r="C342" s="86"/>
      <c r="D342" s="86"/>
    </row>
    <row r="343">
      <c r="B343" s="86"/>
      <c r="C343" s="86"/>
      <c r="D343" s="86"/>
    </row>
    <row r="344">
      <c r="B344" s="86"/>
      <c r="C344" s="86"/>
      <c r="D344" s="86"/>
    </row>
    <row r="345">
      <c r="B345" s="86"/>
      <c r="C345" s="86"/>
      <c r="D345" s="86"/>
    </row>
    <row r="346">
      <c r="B346" s="86"/>
      <c r="C346" s="86"/>
      <c r="D346" s="86"/>
    </row>
    <row r="347">
      <c r="B347" s="86"/>
      <c r="C347" s="86"/>
      <c r="D347" s="86"/>
    </row>
    <row r="348">
      <c r="B348" s="86"/>
      <c r="C348" s="86"/>
      <c r="D348" s="86"/>
    </row>
    <row r="349">
      <c r="B349" s="86"/>
      <c r="C349" s="86"/>
      <c r="D349" s="86"/>
    </row>
    <row r="350">
      <c r="B350" s="86"/>
      <c r="C350" s="86"/>
      <c r="D350" s="86"/>
    </row>
    <row r="351">
      <c r="B351" s="86"/>
      <c r="C351" s="86"/>
      <c r="D351" s="86"/>
    </row>
    <row r="352">
      <c r="B352" s="86"/>
      <c r="C352" s="86"/>
      <c r="D352" s="86"/>
    </row>
    <row r="353">
      <c r="B353" s="86"/>
      <c r="C353" s="86"/>
      <c r="D353" s="86"/>
    </row>
    <row r="354">
      <c r="B354" s="86"/>
      <c r="C354" s="86"/>
      <c r="D354" s="86"/>
    </row>
    <row r="355">
      <c r="B355" s="86"/>
      <c r="C355" s="86"/>
      <c r="D355" s="86"/>
    </row>
    <row r="356">
      <c r="B356" s="86"/>
      <c r="C356" s="86"/>
      <c r="D356" s="86"/>
    </row>
    <row r="357">
      <c r="B357" s="86"/>
      <c r="C357" s="86"/>
      <c r="D357" s="86"/>
    </row>
    <row r="358">
      <c r="B358" s="86"/>
      <c r="C358" s="86"/>
      <c r="D358" s="86"/>
    </row>
    <row r="359">
      <c r="B359" s="86"/>
      <c r="C359" s="86"/>
      <c r="D359" s="86"/>
    </row>
    <row r="360">
      <c r="B360" s="86"/>
      <c r="C360" s="86"/>
      <c r="D360" s="86"/>
    </row>
    <row r="361">
      <c r="B361" s="86"/>
      <c r="C361" s="86"/>
      <c r="D361" s="86"/>
    </row>
    <row r="362">
      <c r="B362" s="86"/>
      <c r="C362" s="86"/>
      <c r="D362" s="86"/>
    </row>
    <row r="363">
      <c r="B363" s="86"/>
      <c r="C363" s="86"/>
      <c r="D363" s="86"/>
    </row>
    <row r="364">
      <c r="B364" s="86"/>
      <c r="C364" s="86"/>
      <c r="D364" s="86"/>
    </row>
    <row r="365">
      <c r="B365" s="86"/>
      <c r="C365" s="86"/>
      <c r="D365" s="86"/>
    </row>
    <row r="366">
      <c r="B366" s="86"/>
      <c r="C366" s="86"/>
      <c r="D366" s="86"/>
    </row>
    <row r="367">
      <c r="B367" s="86"/>
      <c r="C367" s="86"/>
      <c r="D367" s="86"/>
    </row>
    <row r="368">
      <c r="B368" s="86"/>
      <c r="C368" s="86"/>
      <c r="D368" s="86"/>
    </row>
    <row r="369">
      <c r="B369" s="86"/>
      <c r="C369" s="86"/>
      <c r="D369" s="86"/>
    </row>
    <row r="370">
      <c r="B370" s="86"/>
      <c r="C370" s="86"/>
      <c r="D370" s="86"/>
    </row>
    <row r="371">
      <c r="B371" s="86"/>
      <c r="C371" s="86"/>
      <c r="D371" s="86"/>
    </row>
    <row r="372">
      <c r="B372" s="86"/>
      <c r="C372" s="86"/>
      <c r="D372" s="86"/>
    </row>
    <row r="373">
      <c r="B373" s="86"/>
      <c r="C373" s="86"/>
      <c r="D373" s="86"/>
    </row>
    <row r="374">
      <c r="B374" s="86"/>
      <c r="C374" s="86"/>
      <c r="D374" s="86"/>
    </row>
    <row r="375">
      <c r="B375" s="86"/>
      <c r="C375" s="86"/>
      <c r="D375" s="86"/>
    </row>
    <row r="376">
      <c r="B376" s="86"/>
      <c r="C376" s="86"/>
      <c r="D376" s="86"/>
    </row>
    <row r="377">
      <c r="B377" s="86"/>
      <c r="C377" s="86"/>
      <c r="D377" s="86"/>
    </row>
    <row r="378">
      <c r="B378" s="86"/>
      <c r="C378" s="86"/>
      <c r="D378" s="86"/>
    </row>
    <row r="379">
      <c r="B379" s="86"/>
      <c r="C379" s="86"/>
      <c r="D379" s="86"/>
    </row>
    <row r="380">
      <c r="B380" s="86"/>
      <c r="C380" s="86"/>
      <c r="D380" s="86"/>
    </row>
    <row r="381">
      <c r="B381" s="86"/>
      <c r="C381" s="86"/>
      <c r="D381" s="86"/>
    </row>
    <row r="382">
      <c r="B382" s="86"/>
      <c r="C382" s="86"/>
      <c r="D382" s="86"/>
    </row>
    <row r="383">
      <c r="B383" s="86"/>
      <c r="C383" s="86"/>
      <c r="D383" s="86"/>
    </row>
    <row r="384">
      <c r="B384" s="86"/>
      <c r="C384" s="86"/>
      <c r="D384" s="86"/>
    </row>
    <row r="385">
      <c r="B385" s="86"/>
      <c r="C385" s="86"/>
      <c r="D385" s="86"/>
    </row>
    <row r="386">
      <c r="B386" s="86"/>
      <c r="C386" s="86"/>
      <c r="D386" s="86"/>
    </row>
    <row r="387">
      <c r="B387" s="86"/>
      <c r="C387" s="86"/>
      <c r="D387" s="86"/>
    </row>
    <row r="388">
      <c r="B388" s="86"/>
      <c r="C388" s="86"/>
      <c r="D388" s="86"/>
    </row>
    <row r="389">
      <c r="B389" s="86"/>
      <c r="C389" s="86"/>
      <c r="D389" s="86"/>
    </row>
    <row r="390">
      <c r="B390" s="86"/>
      <c r="C390" s="86"/>
      <c r="D390" s="86"/>
    </row>
    <row r="391">
      <c r="B391" s="86"/>
      <c r="C391" s="86"/>
      <c r="D391" s="86"/>
    </row>
    <row r="392">
      <c r="B392" s="86"/>
      <c r="C392" s="86"/>
      <c r="D392" s="86"/>
    </row>
    <row r="393">
      <c r="B393" s="86"/>
      <c r="C393" s="86"/>
      <c r="D393" s="86"/>
    </row>
    <row r="394">
      <c r="B394" s="86"/>
      <c r="C394" s="86"/>
      <c r="D394" s="86"/>
    </row>
    <row r="395">
      <c r="B395" s="86"/>
      <c r="C395" s="86"/>
      <c r="D395" s="86"/>
    </row>
    <row r="396">
      <c r="B396" s="86"/>
      <c r="C396" s="86"/>
      <c r="D396" s="86"/>
    </row>
    <row r="397">
      <c r="B397" s="86"/>
      <c r="C397" s="86"/>
      <c r="D397" s="86"/>
    </row>
    <row r="398">
      <c r="B398" s="86"/>
      <c r="C398" s="86"/>
      <c r="D398" s="86"/>
    </row>
    <row r="399">
      <c r="B399" s="86"/>
      <c r="C399" s="86"/>
      <c r="D399" s="86"/>
    </row>
    <row r="400">
      <c r="B400" s="86"/>
      <c r="C400" s="86"/>
      <c r="D400" s="86"/>
    </row>
    <row r="401">
      <c r="B401" s="86"/>
      <c r="C401" s="86"/>
      <c r="D401" s="86"/>
    </row>
    <row r="402">
      <c r="B402" s="86"/>
      <c r="C402" s="86"/>
      <c r="D402" s="86"/>
    </row>
    <row r="403">
      <c r="B403" s="86"/>
      <c r="C403" s="86"/>
      <c r="D403" s="86"/>
    </row>
    <row r="404">
      <c r="B404" s="86"/>
      <c r="C404" s="86"/>
      <c r="D404" s="86"/>
    </row>
    <row r="405">
      <c r="B405" s="86"/>
      <c r="C405" s="86"/>
      <c r="D405" s="86"/>
    </row>
    <row r="406">
      <c r="B406" s="86"/>
      <c r="C406" s="86"/>
      <c r="D406" s="86"/>
    </row>
    <row r="407">
      <c r="B407" s="86"/>
      <c r="C407" s="86"/>
      <c r="D407" s="86"/>
    </row>
    <row r="408">
      <c r="B408" s="86"/>
      <c r="C408" s="86"/>
      <c r="D408" s="86"/>
    </row>
    <row r="409">
      <c r="B409" s="86"/>
      <c r="C409" s="86"/>
      <c r="D409" s="86"/>
    </row>
    <row r="410">
      <c r="B410" s="86"/>
      <c r="C410" s="86"/>
      <c r="D410" s="86"/>
    </row>
    <row r="411">
      <c r="B411" s="86"/>
      <c r="C411" s="86"/>
      <c r="D411" s="86"/>
    </row>
    <row r="412">
      <c r="B412" s="86"/>
      <c r="C412" s="86"/>
      <c r="D412" s="86"/>
    </row>
    <row r="413">
      <c r="B413" s="86"/>
      <c r="C413" s="86"/>
      <c r="D413" s="86"/>
    </row>
    <row r="414">
      <c r="B414" s="86"/>
      <c r="C414" s="86"/>
      <c r="D414" s="86"/>
    </row>
    <row r="415">
      <c r="B415" s="86"/>
      <c r="C415" s="86"/>
      <c r="D415" s="86"/>
    </row>
    <row r="416">
      <c r="B416" s="86"/>
      <c r="C416" s="86"/>
      <c r="D416" s="86"/>
    </row>
    <row r="417">
      <c r="B417" s="86"/>
      <c r="C417" s="86"/>
      <c r="D417" s="86"/>
    </row>
    <row r="418">
      <c r="B418" s="86"/>
      <c r="C418" s="86"/>
      <c r="D418" s="86"/>
    </row>
    <row r="419">
      <c r="B419" s="86"/>
      <c r="C419" s="86"/>
      <c r="D419" s="86"/>
    </row>
    <row r="420">
      <c r="B420" s="86"/>
      <c r="C420" s="86"/>
      <c r="D420" s="86"/>
    </row>
    <row r="421">
      <c r="B421" s="86"/>
      <c r="C421" s="86"/>
      <c r="D421" s="86"/>
    </row>
    <row r="422">
      <c r="B422" s="86"/>
      <c r="C422" s="86"/>
      <c r="D422" s="86"/>
    </row>
    <row r="423">
      <c r="B423" s="86"/>
      <c r="C423" s="86"/>
      <c r="D423" s="86"/>
    </row>
    <row r="424">
      <c r="B424" s="86"/>
      <c r="C424" s="86"/>
      <c r="D424" s="86"/>
    </row>
    <row r="425">
      <c r="B425" s="86"/>
      <c r="C425" s="86"/>
      <c r="D425" s="86"/>
    </row>
    <row r="426">
      <c r="B426" s="86"/>
      <c r="C426" s="86"/>
      <c r="D426" s="86"/>
    </row>
    <row r="427">
      <c r="B427" s="86"/>
      <c r="C427" s="86"/>
      <c r="D427" s="86"/>
    </row>
    <row r="428">
      <c r="B428" s="86"/>
      <c r="C428" s="86"/>
      <c r="D428" s="86"/>
    </row>
    <row r="429">
      <c r="B429" s="86"/>
      <c r="C429" s="86"/>
      <c r="D429" s="86"/>
    </row>
    <row r="430">
      <c r="B430" s="86"/>
      <c r="C430" s="86"/>
      <c r="D430" s="86"/>
    </row>
    <row r="431">
      <c r="B431" s="86"/>
      <c r="C431" s="86"/>
      <c r="D431" s="86"/>
    </row>
    <row r="432">
      <c r="B432" s="86"/>
      <c r="C432" s="86"/>
      <c r="D432" s="86"/>
    </row>
    <row r="433">
      <c r="B433" s="86"/>
      <c r="C433" s="86"/>
      <c r="D433" s="86"/>
    </row>
    <row r="434">
      <c r="B434" s="86"/>
      <c r="C434" s="86"/>
      <c r="D434" s="86"/>
    </row>
    <row r="435">
      <c r="B435" s="86"/>
      <c r="C435" s="86"/>
      <c r="D435" s="86"/>
    </row>
    <row r="436">
      <c r="B436" s="86"/>
      <c r="C436" s="86"/>
      <c r="D436" s="86"/>
    </row>
    <row r="437">
      <c r="B437" s="86"/>
      <c r="C437" s="86"/>
      <c r="D437" s="86"/>
    </row>
    <row r="438">
      <c r="B438" s="86"/>
      <c r="C438" s="86"/>
      <c r="D438" s="86"/>
    </row>
    <row r="439">
      <c r="B439" s="86"/>
      <c r="C439" s="86"/>
      <c r="D439" s="86"/>
    </row>
    <row r="440">
      <c r="B440" s="86"/>
      <c r="C440" s="86"/>
      <c r="D440" s="86"/>
    </row>
    <row r="441">
      <c r="B441" s="86"/>
      <c r="C441" s="86"/>
      <c r="D441" s="86"/>
    </row>
    <row r="442">
      <c r="B442" s="86"/>
      <c r="C442" s="86"/>
      <c r="D442" s="86"/>
    </row>
    <row r="443">
      <c r="B443" s="86"/>
      <c r="C443" s="86"/>
      <c r="D443" s="86"/>
    </row>
    <row r="444">
      <c r="B444" s="86"/>
      <c r="C444" s="86"/>
      <c r="D444" s="86"/>
    </row>
    <row r="445">
      <c r="B445" s="86"/>
      <c r="C445" s="86"/>
      <c r="D445" s="86"/>
    </row>
    <row r="446">
      <c r="B446" s="86"/>
      <c r="C446" s="86"/>
      <c r="D446" s="86"/>
    </row>
    <row r="447">
      <c r="B447" s="86"/>
      <c r="C447" s="86"/>
      <c r="D447" s="86"/>
    </row>
    <row r="448">
      <c r="B448" s="86"/>
      <c r="C448" s="86"/>
      <c r="D448" s="86"/>
    </row>
    <row r="449">
      <c r="B449" s="86"/>
      <c r="C449" s="86"/>
      <c r="D449" s="86"/>
    </row>
    <row r="450">
      <c r="B450" s="86"/>
      <c r="C450" s="86"/>
      <c r="D450" s="86"/>
    </row>
    <row r="451">
      <c r="B451" s="86"/>
      <c r="C451" s="86"/>
      <c r="D451" s="86"/>
    </row>
    <row r="452">
      <c r="B452" s="86"/>
      <c r="C452" s="86"/>
      <c r="D452" s="86"/>
    </row>
    <row r="453">
      <c r="B453" s="86"/>
      <c r="C453" s="86"/>
      <c r="D453" s="86"/>
    </row>
    <row r="454">
      <c r="B454" s="86"/>
      <c r="C454" s="86"/>
      <c r="D454" s="86"/>
    </row>
    <row r="455">
      <c r="B455" s="86"/>
      <c r="C455" s="86"/>
      <c r="D455" s="86"/>
    </row>
    <row r="456">
      <c r="B456" s="86"/>
      <c r="C456" s="86"/>
      <c r="D456" s="86"/>
    </row>
    <row r="457">
      <c r="B457" s="86"/>
      <c r="C457" s="86"/>
      <c r="D457" s="86"/>
    </row>
    <row r="458">
      <c r="B458" s="86"/>
      <c r="C458" s="86"/>
      <c r="D458" s="86"/>
    </row>
    <row r="459">
      <c r="B459" s="86"/>
      <c r="C459" s="86"/>
      <c r="D459" s="86"/>
    </row>
    <row r="460">
      <c r="B460" s="86"/>
      <c r="C460" s="86"/>
      <c r="D460" s="86"/>
    </row>
    <row r="461">
      <c r="B461" s="86"/>
      <c r="C461" s="86"/>
      <c r="D461" s="86"/>
    </row>
    <row r="462">
      <c r="B462" s="86"/>
      <c r="C462" s="86"/>
      <c r="D462" s="86"/>
    </row>
    <row r="463">
      <c r="B463" s="86"/>
      <c r="C463" s="86"/>
      <c r="D463" s="86"/>
    </row>
    <row r="464">
      <c r="B464" s="86"/>
      <c r="C464" s="86"/>
      <c r="D464" s="86"/>
    </row>
    <row r="465">
      <c r="B465" s="86"/>
      <c r="C465" s="86"/>
      <c r="D465" s="86"/>
    </row>
    <row r="466">
      <c r="B466" s="86"/>
      <c r="C466" s="86"/>
      <c r="D466" s="86"/>
    </row>
    <row r="467">
      <c r="B467" s="86"/>
      <c r="C467" s="86"/>
      <c r="D467" s="86"/>
    </row>
    <row r="468">
      <c r="B468" s="86"/>
      <c r="C468" s="86"/>
      <c r="D468" s="86"/>
    </row>
    <row r="469">
      <c r="B469" s="86"/>
      <c r="C469" s="86"/>
      <c r="D469" s="86"/>
    </row>
    <row r="470">
      <c r="B470" s="86"/>
      <c r="C470" s="86"/>
      <c r="D470" s="86"/>
    </row>
    <row r="471">
      <c r="B471" s="86"/>
      <c r="C471" s="86"/>
      <c r="D471" s="86"/>
    </row>
    <row r="472">
      <c r="B472" s="86"/>
      <c r="C472" s="86"/>
      <c r="D472" s="86"/>
    </row>
    <row r="473">
      <c r="B473" s="86"/>
      <c r="C473" s="86"/>
      <c r="D473" s="86"/>
    </row>
    <row r="474">
      <c r="B474" s="86"/>
      <c r="C474" s="86"/>
      <c r="D474" s="86"/>
    </row>
    <row r="475">
      <c r="B475" s="86"/>
      <c r="C475" s="86"/>
      <c r="D475" s="86"/>
    </row>
    <row r="476">
      <c r="B476" s="86"/>
      <c r="C476" s="86"/>
      <c r="D476" s="86"/>
    </row>
    <row r="477">
      <c r="B477" s="86"/>
      <c r="C477" s="86"/>
      <c r="D477" s="86"/>
    </row>
    <row r="478">
      <c r="B478" s="86"/>
      <c r="C478" s="86"/>
      <c r="D478" s="86"/>
    </row>
    <row r="479">
      <c r="B479" s="86"/>
      <c r="C479" s="86"/>
      <c r="D479" s="86"/>
    </row>
    <row r="480">
      <c r="B480" s="86"/>
      <c r="C480" s="86"/>
      <c r="D480" s="86"/>
    </row>
    <row r="481">
      <c r="B481" s="86"/>
      <c r="C481" s="86"/>
      <c r="D481" s="86"/>
    </row>
    <row r="482">
      <c r="B482" s="86"/>
      <c r="C482" s="86"/>
      <c r="D482" s="86"/>
    </row>
    <row r="483">
      <c r="B483" s="86"/>
      <c r="C483" s="86"/>
      <c r="D483" s="86"/>
    </row>
    <row r="484">
      <c r="B484" s="86"/>
      <c r="C484" s="86"/>
      <c r="D484" s="86"/>
    </row>
    <row r="485">
      <c r="B485" s="86"/>
      <c r="C485" s="86"/>
      <c r="D485" s="86"/>
    </row>
    <row r="486">
      <c r="B486" s="86"/>
      <c r="C486" s="86"/>
      <c r="D486" s="86"/>
    </row>
    <row r="487">
      <c r="B487" s="86"/>
      <c r="C487" s="86"/>
      <c r="D487" s="86"/>
    </row>
    <row r="488">
      <c r="B488" s="86"/>
      <c r="C488" s="86"/>
      <c r="D488" s="86"/>
    </row>
    <row r="489">
      <c r="B489" s="86"/>
      <c r="C489" s="86"/>
      <c r="D489" s="86"/>
    </row>
    <row r="490">
      <c r="B490" s="86"/>
      <c r="C490" s="86"/>
      <c r="D490" s="86"/>
    </row>
    <row r="491">
      <c r="B491" s="86"/>
      <c r="C491" s="86"/>
      <c r="D491" s="86"/>
    </row>
    <row r="492">
      <c r="B492" s="86"/>
      <c r="C492" s="86"/>
      <c r="D492" s="86"/>
    </row>
    <row r="493">
      <c r="B493" s="86"/>
      <c r="C493" s="86"/>
      <c r="D493" s="86"/>
    </row>
    <row r="494">
      <c r="B494" s="86"/>
      <c r="C494" s="86"/>
      <c r="D494" s="86"/>
    </row>
    <row r="495">
      <c r="B495" s="86"/>
      <c r="C495" s="86"/>
      <c r="D495" s="86"/>
    </row>
    <row r="496">
      <c r="B496" s="86"/>
      <c r="C496" s="86"/>
      <c r="D496" s="86"/>
    </row>
    <row r="497">
      <c r="B497" s="86"/>
      <c r="C497" s="86"/>
      <c r="D497" s="86"/>
    </row>
    <row r="498">
      <c r="B498" s="86"/>
      <c r="C498" s="86"/>
      <c r="D498" s="86"/>
    </row>
    <row r="499">
      <c r="B499" s="86"/>
      <c r="C499" s="86"/>
      <c r="D499" s="86"/>
    </row>
    <row r="500">
      <c r="B500" s="86"/>
      <c r="C500" s="86"/>
      <c r="D500" s="86"/>
    </row>
    <row r="501">
      <c r="B501" s="86"/>
      <c r="C501" s="86"/>
      <c r="D501" s="86"/>
    </row>
    <row r="502">
      <c r="B502" s="86"/>
      <c r="C502" s="86"/>
      <c r="D502" s="86"/>
    </row>
    <row r="503">
      <c r="B503" s="86"/>
      <c r="C503" s="86"/>
      <c r="D503" s="86"/>
    </row>
    <row r="504">
      <c r="B504" s="86"/>
      <c r="C504" s="86"/>
      <c r="D504" s="86"/>
    </row>
    <row r="505">
      <c r="B505" s="86"/>
      <c r="C505" s="86"/>
      <c r="D505" s="86"/>
    </row>
    <row r="506">
      <c r="B506" s="86"/>
      <c r="C506" s="86"/>
      <c r="D506" s="86"/>
    </row>
    <row r="507">
      <c r="B507" s="86"/>
      <c r="C507" s="86"/>
      <c r="D507" s="86"/>
    </row>
    <row r="508">
      <c r="B508" s="86"/>
      <c r="C508" s="86"/>
      <c r="D508" s="86"/>
    </row>
    <row r="509">
      <c r="B509" s="86"/>
      <c r="C509" s="86"/>
      <c r="D509" s="86"/>
    </row>
    <row r="510">
      <c r="B510" s="86"/>
      <c r="C510" s="86"/>
      <c r="D510" s="86"/>
    </row>
    <row r="511">
      <c r="B511" s="86"/>
      <c r="C511" s="86"/>
      <c r="D511" s="86"/>
    </row>
    <row r="512">
      <c r="B512" s="86"/>
      <c r="C512" s="86"/>
      <c r="D512" s="86"/>
    </row>
    <row r="513">
      <c r="B513" s="86"/>
      <c r="C513" s="86"/>
      <c r="D513" s="86"/>
    </row>
    <row r="514">
      <c r="B514" s="86"/>
      <c r="C514" s="86"/>
      <c r="D514" s="86"/>
    </row>
    <row r="515">
      <c r="B515" s="86"/>
      <c r="C515" s="86"/>
      <c r="D515" s="86"/>
    </row>
    <row r="516">
      <c r="B516" s="86"/>
      <c r="C516" s="86"/>
      <c r="D516" s="86"/>
    </row>
    <row r="517">
      <c r="B517" s="86"/>
      <c r="C517" s="86"/>
      <c r="D517" s="86"/>
    </row>
    <row r="518">
      <c r="B518" s="86"/>
      <c r="C518" s="86"/>
      <c r="D518" s="86"/>
    </row>
    <row r="519">
      <c r="B519" s="86"/>
      <c r="C519" s="86"/>
      <c r="D519" s="86"/>
    </row>
    <row r="520">
      <c r="B520" s="86"/>
      <c r="C520" s="86"/>
      <c r="D520" s="86"/>
    </row>
    <row r="521">
      <c r="B521" s="86"/>
      <c r="C521" s="86"/>
      <c r="D521" s="86"/>
    </row>
    <row r="522">
      <c r="B522" s="86"/>
      <c r="C522" s="86"/>
      <c r="D522" s="86"/>
    </row>
    <row r="523">
      <c r="B523" s="86"/>
      <c r="C523" s="86"/>
      <c r="D523" s="86"/>
    </row>
    <row r="524">
      <c r="B524" s="86"/>
      <c r="C524" s="86"/>
      <c r="D524" s="86"/>
    </row>
    <row r="525">
      <c r="B525" s="86"/>
      <c r="C525" s="86"/>
      <c r="D525" s="86"/>
    </row>
    <row r="526">
      <c r="B526" s="86"/>
      <c r="C526" s="86"/>
      <c r="D526" s="86"/>
    </row>
    <row r="527">
      <c r="B527" s="86"/>
      <c r="C527" s="86"/>
      <c r="D527" s="86"/>
    </row>
    <row r="528">
      <c r="B528" s="86"/>
      <c r="C528" s="86"/>
      <c r="D528" s="86"/>
    </row>
    <row r="529">
      <c r="B529" s="86"/>
      <c r="C529" s="86"/>
      <c r="D529" s="86"/>
    </row>
    <row r="530">
      <c r="B530" s="86"/>
      <c r="C530" s="86"/>
      <c r="D530" s="86"/>
    </row>
    <row r="531">
      <c r="B531" s="86"/>
      <c r="C531" s="86"/>
      <c r="D531" s="86"/>
    </row>
    <row r="532">
      <c r="B532" s="86"/>
      <c r="C532" s="86"/>
      <c r="D532" s="86"/>
    </row>
    <row r="533">
      <c r="B533" s="86"/>
      <c r="C533" s="86"/>
      <c r="D533" s="86"/>
    </row>
    <row r="534">
      <c r="B534" s="86"/>
      <c r="C534" s="86"/>
      <c r="D534" s="86"/>
    </row>
    <row r="535">
      <c r="B535" s="86"/>
      <c r="C535" s="86"/>
      <c r="D535" s="86"/>
    </row>
    <row r="536">
      <c r="B536" s="86"/>
      <c r="C536" s="86"/>
      <c r="D536" s="86"/>
    </row>
    <row r="537">
      <c r="B537" s="86"/>
      <c r="C537" s="86"/>
      <c r="D537" s="86"/>
    </row>
    <row r="538">
      <c r="B538" s="86"/>
      <c r="C538" s="86"/>
      <c r="D538" s="86"/>
    </row>
    <row r="539">
      <c r="B539" s="86"/>
      <c r="C539" s="86"/>
      <c r="D539" s="86"/>
    </row>
    <row r="540">
      <c r="B540" s="86"/>
      <c r="C540" s="86"/>
      <c r="D540" s="86"/>
    </row>
    <row r="541">
      <c r="B541" s="86"/>
      <c r="C541" s="86"/>
      <c r="D541" s="86"/>
    </row>
    <row r="542">
      <c r="B542" s="86"/>
      <c r="C542" s="86"/>
      <c r="D542" s="86"/>
    </row>
    <row r="543">
      <c r="B543" s="86"/>
      <c r="C543" s="86"/>
      <c r="D543" s="86"/>
    </row>
    <row r="544">
      <c r="B544" s="86"/>
      <c r="C544" s="86"/>
      <c r="D544" s="86"/>
    </row>
    <row r="545">
      <c r="B545" s="86"/>
      <c r="C545" s="86"/>
      <c r="D545" s="86"/>
    </row>
    <row r="546">
      <c r="B546" s="86"/>
      <c r="C546" s="86"/>
      <c r="D546" s="86"/>
    </row>
    <row r="547">
      <c r="B547" s="86"/>
      <c r="C547" s="86"/>
      <c r="D547" s="86"/>
    </row>
    <row r="548">
      <c r="B548" s="86"/>
      <c r="C548" s="86"/>
      <c r="D548" s="86"/>
    </row>
    <row r="549">
      <c r="B549" s="86"/>
      <c r="C549" s="86"/>
      <c r="D549" s="86"/>
    </row>
    <row r="550">
      <c r="B550" s="86"/>
      <c r="C550" s="86"/>
      <c r="D550" s="86"/>
    </row>
    <row r="551">
      <c r="B551" s="86"/>
      <c r="C551" s="86"/>
      <c r="D551" s="86"/>
    </row>
    <row r="552">
      <c r="B552" s="86"/>
      <c r="C552" s="86"/>
      <c r="D552" s="86"/>
    </row>
    <row r="553">
      <c r="B553" s="86"/>
      <c r="C553" s="86"/>
      <c r="D553" s="86"/>
    </row>
    <row r="554">
      <c r="B554" s="86"/>
      <c r="C554" s="86"/>
      <c r="D554" s="86"/>
    </row>
    <row r="555">
      <c r="B555" s="86"/>
      <c r="C555" s="86"/>
      <c r="D555" s="86"/>
    </row>
    <row r="556">
      <c r="B556" s="86"/>
      <c r="C556" s="86"/>
      <c r="D556" s="86"/>
    </row>
    <row r="557">
      <c r="B557" s="86"/>
      <c r="C557" s="86"/>
      <c r="D557" s="86"/>
    </row>
    <row r="558">
      <c r="B558" s="86"/>
      <c r="C558" s="86"/>
      <c r="D558" s="86"/>
    </row>
    <row r="559">
      <c r="B559" s="86"/>
      <c r="C559" s="86"/>
      <c r="D559" s="86"/>
    </row>
    <row r="560">
      <c r="B560" s="86"/>
      <c r="C560" s="86"/>
      <c r="D560" s="86"/>
    </row>
    <row r="561">
      <c r="B561" s="86"/>
      <c r="C561" s="86"/>
      <c r="D561" s="86"/>
    </row>
    <row r="562">
      <c r="B562" s="86"/>
      <c r="C562" s="86"/>
      <c r="D562" s="86"/>
    </row>
    <row r="563">
      <c r="B563" s="86"/>
      <c r="C563" s="86"/>
      <c r="D563" s="86"/>
    </row>
    <row r="564">
      <c r="B564" s="86"/>
      <c r="C564" s="86"/>
      <c r="D564" s="86"/>
    </row>
    <row r="565">
      <c r="B565" s="86"/>
      <c r="C565" s="86"/>
      <c r="D565" s="86"/>
    </row>
    <row r="566">
      <c r="B566" s="86"/>
      <c r="C566" s="86"/>
      <c r="D566" s="86"/>
    </row>
    <row r="567">
      <c r="B567" s="86"/>
      <c r="C567" s="86"/>
      <c r="D567" s="86"/>
    </row>
    <row r="568">
      <c r="B568" s="86"/>
      <c r="C568" s="86"/>
      <c r="D568" s="86"/>
    </row>
    <row r="569">
      <c r="B569" s="86"/>
      <c r="C569" s="86"/>
      <c r="D569" s="86"/>
    </row>
    <row r="570">
      <c r="B570" s="86"/>
      <c r="C570" s="86"/>
      <c r="D570" s="86"/>
    </row>
    <row r="571">
      <c r="B571" s="86"/>
      <c r="C571" s="86"/>
      <c r="D571" s="86"/>
    </row>
    <row r="572">
      <c r="B572" s="86"/>
      <c r="C572" s="86"/>
      <c r="D572" s="86"/>
    </row>
    <row r="573">
      <c r="B573" s="86"/>
      <c r="C573" s="86"/>
      <c r="D573" s="86"/>
    </row>
    <row r="574">
      <c r="B574" s="86"/>
      <c r="C574" s="86"/>
      <c r="D574" s="86"/>
    </row>
    <row r="575">
      <c r="B575" s="86"/>
      <c r="C575" s="86"/>
      <c r="D575" s="86"/>
    </row>
    <row r="576">
      <c r="B576" s="86"/>
      <c r="C576" s="86"/>
      <c r="D576" s="86"/>
    </row>
    <row r="577">
      <c r="B577" s="86"/>
      <c r="C577" s="86"/>
      <c r="D577" s="86"/>
    </row>
    <row r="578">
      <c r="B578" s="86"/>
      <c r="C578" s="86"/>
      <c r="D578" s="86"/>
    </row>
    <row r="579">
      <c r="B579" s="86"/>
      <c r="C579" s="86"/>
      <c r="D579" s="86"/>
    </row>
    <row r="580">
      <c r="B580" s="86"/>
      <c r="C580" s="86"/>
      <c r="D580" s="86"/>
    </row>
    <row r="581">
      <c r="B581" s="86"/>
      <c r="C581" s="86"/>
      <c r="D581" s="86"/>
    </row>
    <row r="582">
      <c r="B582" s="86"/>
      <c r="C582" s="86"/>
      <c r="D582" s="86"/>
    </row>
    <row r="583">
      <c r="B583" s="86"/>
      <c r="C583" s="86"/>
      <c r="D583" s="86"/>
    </row>
    <row r="584">
      <c r="B584" s="86"/>
      <c r="C584" s="86"/>
      <c r="D584" s="86"/>
    </row>
    <row r="585">
      <c r="B585" s="86"/>
      <c r="C585" s="86"/>
      <c r="D585" s="86"/>
    </row>
    <row r="586">
      <c r="B586" s="86"/>
      <c r="C586" s="86"/>
      <c r="D586" s="86"/>
    </row>
    <row r="587">
      <c r="B587" s="86"/>
      <c r="C587" s="86"/>
      <c r="D587" s="86"/>
    </row>
    <row r="588">
      <c r="B588" s="86"/>
      <c r="C588" s="86"/>
      <c r="D588" s="86"/>
    </row>
    <row r="589">
      <c r="B589" s="86"/>
      <c r="C589" s="86"/>
      <c r="D589" s="86"/>
    </row>
    <row r="590">
      <c r="B590" s="86"/>
      <c r="C590" s="86"/>
      <c r="D590" s="86"/>
    </row>
    <row r="591">
      <c r="B591" s="86"/>
      <c r="C591" s="86"/>
      <c r="D591" s="86"/>
    </row>
    <row r="592">
      <c r="B592" s="86"/>
      <c r="C592" s="86"/>
      <c r="D592" s="86"/>
    </row>
    <row r="593">
      <c r="B593" s="86"/>
      <c r="C593" s="86"/>
      <c r="D593" s="86"/>
    </row>
    <row r="594">
      <c r="B594" s="86"/>
      <c r="C594" s="86"/>
      <c r="D594" s="86"/>
    </row>
    <row r="595">
      <c r="B595" s="86"/>
      <c r="C595" s="86"/>
      <c r="D595" s="86"/>
    </row>
    <row r="596">
      <c r="B596" s="86"/>
      <c r="C596" s="86"/>
      <c r="D596" s="86"/>
    </row>
    <row r="597">
      <c r="B597" s="86"/>
      <c r="C597" s="86"/>
      <c r="D597" s="86"/>
    </row>
    <row r="598">
      <c r="B598" s="86"/>
      <c r="C598" s="86"/>
      <c r="D598" s="86"/>
    </row>
    <row r="599">
      <c r="B599" s="86"/>
      <c r="C599" s="86"/>
      <c r="D599" s="86"/>
    </row>
    <row r="600">
      <c r="B600" s="86"/>
      <c r="C600" s="86"/>
      <c r="D600" s="86"/>
    </row>
    <row r="601">
      <c r="B601" s="86"/>
      <c r="C601" s="86"/>
      <c r="D601" s="86"/>
    </row>
    <row r="602">
      <c r="B602" s="86"/>
      <c r="C602" s="86"/>
      <c r="D602" s="86"/>
    </row>
    <row r="603">
      <c r="B603" s="86"/>
      <c r="C603" s="86"/>
      <c r="D603" s="86"/>
    </row>
    <row r="604">
      <c r="B604" s="86"/>
      <c r="C604" s="86"/>
      <c r="D604" s="86"/>
    </row>
    <row r="605">
      <c r="B605" s="86"/>
      <c r="C605" s="86"/>
      <c r="D605" s="86"/>
    </row>
    <row r="606">
      <c r="B606" s="86"/>
      <c r="C606" s="86"/>
      <c r="D606" s="86"/>
    </row>
    <row r="607">
      <c r="B607" s="86"/>
      <c r="C607" s="86"/>
      <c r="D607" s="86"/>
    </row>
    <row r="608">
      <c r="B608" s="86"/>
      <c r="C608" s="86"/>
      <c r="D608" s="86"/>
    </row>
    <row r="609">
      <c r="B609" s="86"/>
      <c r="C609" s="86"/>
      <c r="D609" s="86"/>
    </row>
    <row r="610">
      <c r="B610" s="86"/>
      <c r="C610" s="86"/>
      <c r="D610" s="86"/>
    </row>
    <row r="611">
      <c r="B611" s="86"/>
      <c r="C611" s="86"/>
      <c r="D611" s="86"/>
    </row>
    <row r="612">
      <c r="B612" s="86"/>
      <c r="C612" s="86"/>
      <c r="D612" s="86"/>
    </row>
    <row r="613">
      <c r="B613" s="86"/>
      <c r="C613" s="86"/>
      <c r="D613" s="86"/>
    </row>
    <row r="614">
      <c r="B614" s="86"/>
      <c r="C614" s="86"/>
      <c r="D614" s="86"/>
    </row>
    <row r="615">
      <c r="B615" s="86"/>
      <c r="C615" s="86"/>
      <c r="D615" s="86"/>
    </row>
    <row r="616">
      <c r="B616" s="86"/>
      <c r="C616" s="86"/>
      <c r="D616" s="86"/>
    </row>
    <row r="617">
      <c r="B617" s="86"/>
      <c r="C617" s="86"/>
      <c r="D617" s="86"/>
    </row>
    <row r="618">
      <c r="B618" s="86"/>
      <c r="C618" s="86"/>
      <c r="D618" s="86"/>
    </row>
    <row r="619">
      <c r="B619" s="86"/>
      <c r="C619" s="86"/>
      <c r="D619" s="86"/>
    </row>
    <row r="620">
      <c r="B620" s="86"/>
      <c r="C620" s="86"/>
      <c r="D620" s="86"/>
    </row>
    <row r="621">
      <c r="B621" s="86"/>
      <c r="C621" s="86"/>
      <c r="D621" s="86"/>
    </row>
    <row r="622">
      <c r="B622" s="86"/>
      <c r="C622" s="86"/>
      <c r="D622" s="86"/>
    </row>
    <row r="623">
      <c r="B623" s="86"/>
      <c r="C623" s="86"/>
      <c r="D623" s="86"/>
    </row>
    <row r="624">
      <c r="B624" s="86"/>
      <c r="C624" s="86"/>
      <c r="D624" s="86"/>
    </row>
    <row r="625">
      <c r="B625" s="86"/>
      <c r="C625" s="86"/>
      <c r="D625" s="86"/>
    </row>
    <row r="626">
      <c r="B626" s="86"/>
      <c r="C626" s="86"/>
      <c r="D626" s="86"/>
    </row>
    <row r="627">
      <c r="B627" s="86"/>
      <c r="C627" s="86"/>
      <c r="D627" s="86"/>
    </row>
    <row r="628">
      <c r="B628" s="86"/>
      <c r="C628" s="86"/>
      <c r="D628" s="86"/>
    </row>
    <row r="629">
      <c r="B629" s="86"/>
      <c r="C629" s="86"/>
      <c r="D629" s="86"/>
    </row>
    <row r="630">
      <c r="B630" s="86"/>
      <c r="C630" s="86"/>
      <c r="D630" s="86"/>
    </row>
    <row r="631">
      <c r="B631" s="86"/>
      <c r="C631" s="86"/>
      <c r="D631" s="86"/>
    </row>
    <row r="632">
      <c r="B632" s="86"/>
      <c r="C632" s="86"/>
      <c r="D632" s="86"/>
    </row>
    <row r="633">
      <c r="B633" s="86"/>
      <c r="C633" s="86"/>
      <c r="D633" s="86"/>
    </row>
    <row r="634">
      <c r="B634" s="86"/>
      <c r="C634" s="86"/>
      <c r="D634" s="86"/>
    </row>
    <row r="635">
      <c r="B635" s="86"/>
      <c r="C635" s="86"/>
      <c r="D635" s="86"/>
    </row>
    <row r="636">
      <c r="B636" s="86"/>
      <c r="C636" s="86"/>
      <c r="D636" s="86"/>
    </row>
    <row r="637">
      <c r="B637" s="86"/>
      <c r="C637" s="86"/>
      <c r="D637" s="86"/>
    </row>
    <row r="638">
      <c r="B638" s="86"/>
      <c r="C638" s="86"/>
      <c r="D638" s="86"/>
    </row>
    <row r="639">
      <c r="B639" s="86"/>
      <c r="C639" s="86"/>
      <c r="D639" s="86"/>
    </row>
    <row r="640">
      <c r="B640" s="86"/>
      <c r="C640" s="86"/>
      <c r="D640" s="86"/>
    </row>
    <row r="641">
      <c r="B641" s="86"/>
      <c r="C641" s="86"/>
      <c r="D641" s="86"/>
    </row>
    <row r="642">
      <c r="B642" s="86"/>
      <c r="C642" s="86"/>
      <c r="D642" s="86"/>
    </row>
    <row r="643">
      <c r="B643" s="86"/>
      <c r="C643" s="86"/>
      <c r="D643" s="86"/>
    </row>
    <row r="644">
      <c r="B644" s="86"/>
      <c r="C644" s="86"/>
      <c r="D644" s="86"/>
    </row>
    <row r="645">
      <c r="B645" s="86"/>
      <c r="C645" s="86"/>
      <c r="D645" s="86"/>
    </row>
    <row r="646">
      <c r="B646" s="86"/>
      <c r="C646" s="86"/>
      <c r="D646" s="86"/>
    </row>
    <row r="647">
      <c r="B647" s="86"/>
      <c r="C647" s="86"/>
      <c r="D647" s="86"/>
    </row>
    <row r="648">
      <c r="B648" s="86"/>
      <c r="C648" s="86"/>
      <c r="D648" s="86"/>
    </row>
    <row r="649">
      <c r="B649" s="86"/>
      <c r="C649" s="86"/>
      <c r="D649" s="86"/>
    </row>
    <row r="650">
      <c r="B650" s="86"/>
      <c r="C650" s="86"/>
      <c r="D650" s="86"/>
    </row>
    <row r="651">
      <c r="B651" s="86"/>
      <c r="C651" s="86"/>
      <c r="D651" s="86"/>
    </row>
    <row r="652">
      <c r="B652" s="86"/>
      <c r="C652" s="86"/>
      <c r="D652" s="86"/>
    </row>
    <row r="653">
      <c r="B653" s="86"/>
      <c r="C653" s="86"/>
      <c r="D653" s="86"/>
    </row>
    <row r="654">
      <c r="B654" s="86"/>
      <c r="C654" s="86"/>
      <c r="D654" s="86"/>
    </row>
    <row r="655">
      <c r="B655" s="86"/>
      <c r="C655" s="86"/>
      <c r="D655" s="86"/>
    </row>
    <row r="656">
      <c r="B656" s="86"/>
      <c r="C656" s="86"/>
      <c r="D656" s="86"/>
    </row>
    <row r="657">
      <c r="B657" s="86"/>
      <c r="C657" s="86"/>
      <c r="D657" s="86"/>
    </row>
    <row r="658">
      <c r="B658" s="86"/>
      <c r="C658" s="86"/>
      <c r="D658" s="86"/>
    </row>
    <row r="659">
      <c r="B659" s="86"/>
      <c r="C659" s="86"/>
      <c r="D659" s="86"/>
    </row>
    <row r="660">
      <c r="B660" s="86"/>
      <c r="C660" s="86"/>
      <c r="D660" s="86"/>
    </row>
    <row r="661">
      <c r="B661" s="86"/>
      <c r="C661" s="86"/>
      <c r="D661" s="86"/>
    </row>
    <row r="662">
      <c r="B662" s="86"/>
      <c r="C662" s="86"/>
      <c r="D662" s="86"/>
    </row>
    <row r="663">
      <c r="B663" s="86"/>
      <c r="C663" s="86"/>
      <c r="D663" s="86"/>
    </row>
    <row r="664">
      <c r="B664" s="86"/>
      <c r="C664" s="86"/>
      <c r="D664" s="86"/>
    </row>
    <row r="665">
      <c r="B665" s="86"/>
      <c r="C665" s="86"/>
      <c r="D665" s="86"/>
    </row>
    <row r="666">
      <c r="B666" s="86"/>
      <c r="C666" s="86"/>
      <c r="D666" s="86"/>
    </row>
    <row r="667">
      <c r="B667" s="86"/>
      <c r="C667" s="86"/>
      <c r="D667" s="86"/>
    </row>
    <row r="668">
      <c r="B668" s="86"/>
      <c r="C668" s="86"/>
      <c r="D668" s="86"/>
    </row>
    <row r="669">
      <c r="B669" s="86"/>
      <c r="C669" s="86"/>
      <c r="D669" s="86"/>
    </row>
    <row r="670">
      <c r="B670" s="86"/>
      <c r="C670" s="86"/>
      <c r="D670" s="86"/>
    </row>
    <row r="671">
      <c r="B671" s="86"/>
      <c r="C671" s="86"/>
      <c r="D671" s="86"/>
    </row>
    <row r="672">
      <c r="B672" s="86"/>
      <c r="C672" s="86"/>
      <c r="D672" s="86"/>
    </row>
    <row r="673">
      <c r="B673" s="86"/>
      <c r="C673" s="86"/>
      <c r="D673" s="86"/>
    </row>
    <row r="674">
      <c r="B674" s="86"/>
      <c r="C674" s="86"/>
      <c r="D674" s="86"/>
    </row>
    <row r="675">
      <c r="B675" s="86"/>
      <c r="C675" s="86"/>
      <c r="D675" s="86"/>
    </row>
    <row r="676">
      <c r="B676" s="86"/>
      <c r="C676" s="86"/>
      <c r="D676" s="86"/>
    </row>
    <row r="677">
      <c r="B677" s="86"/>
      <c r="C677" s="86"/>
      <c r="D677" s="86"/>
    </row>
    <row r="678">
      <c r="B678" s="86"/>
      <c r="C678" s="86"/>
      <c r="D678" s="86"/>
    </row>
    <row r="679">
      <c r="B679" s="86"/>
      <c r="C679" s="86"/>
      <c r="D679" s="86"/>
    </row>
    <row r="680">
      <c r="B680" s="86"/>
      <c r="C680" s="86"/>
      <c r="D680" s="86"/>
    </row>
    <row r="681">
      <c r="B681" s="86"/>
      <c r="C681" s="86"/>
      <c r="D681" s="86"/>
    </row>
    <row r="682">
      <c r="B682" s="86"/>
      <c r="C682" s="86"/>
      <c r="D682" s="86"/>
    </row>
    <row r="683">
      <c r="B683" s="86"/>
      <c r="C683" s="86"/>
      <c r="D683" s="86"/>
    </row>
    <row r="684">
      <c r="B684" s="86"/>
      <c r="C684" s="86"/>
      <c r="D684" s="86"/>
    </row>
    <row r="685">
      <c r="B685" s="86"/>
      <c r="C685" s="86"/>
      <c r="D685" s="86"/>
    </row>
    <row r="686">
      <c r="B686" s="86"/>
      <c r="C686" s="86"/>
      <c r="D686" s="86"/>
    </row>
    <row r="687">
      <c r="B687" s="86"/>
      <c r="C687" s="86"/>
      <c r="D687" s="86"/>
    </row>
    <row r="688">
      <c r="B688" s="86"/>
      <c r="C688" s="86"/>
      <c r="D688" s="86"/>
    </row>
    <row r="689">
      <c r="B689" s="86"/>
      <c r="C689" s="86"/>
      <c r="D689" s="86"/>
    </row>
    <row r="690">
      <c r="B690" s="86"/>
      <c r="C690" s="86"/>
      <c r="D690" s="86"/>
    </row>
    <row r="691">
      <c r="B691" s="86"/>
      <c r="C691" s="86"/>
      <c r="D691" s="86"/>
    </row>
    <row r="692">
      <c r="B692" s="86"/>
      <c r="C692" s="86"/>
      <c r="D692" s="86"/>
    </row>
    <row r="693">
      <c r="B693" s="86"/>
      <c r="C693" s="86"/>
      <c r="D693" s="86"/>
    </row>
    <row r="694">
      <c r="B694" s="86"/>
      <c r="C694" s="86"/>
      <c r="D694" s="86"/>
    </row>
    <row r="695">
      <c r="B695" s="86"/>
      <c r="C695" s="86"/>
      <c r="D695" s="86"/>
    </row>
    <row r="696">
      <c r="B696" s="86"/>
      <c r="C696" s="86"/>
      <c r="D696" s="86"/>
    </row>
    <row r="697">
      <c r="B697" s="86"/>
      <c r="C697" s="86"/>
      <c r="D697" s="86"/>
    </row>
    <row r="698">
      <c r="B698" s="86"/>
      <c r="C698" s="86"/>
      <c r="D698" s="86"/>
    </row>
    <row r="699">
      <c r="B699" s="86"/>
      <c r="C699" s="86"/>
      <c r="D699" s="86"/>
    </row>
    <row r="700">
      <c r="B700" s="86"/>
      <c r="C700" s="86"/>
      <c r="D700" s="86"/>
    </row>
    <row r="701">
      <c r="B701" s="86"/>
      <c r="C701" s="86"/>
      <c r="D701" s="86"/>
    </row>
    <row r="702">
      <c r="B702" s="86"/>
      <c r="C702" s="86"/>
      <c r="D702" s="86"/>
    </row>
    <row r="703">
      <c r="B703" s="86"/>
      <c r="C703" s="86"/>
      <c r="D703" s="86"/>
    </row>
    <row r="704">
      <c r="B704" s="86"/>
      <c r="C704" s="86"/>
      <c r="D704" s="86"/>
    </row>
    <row r="705">
      <c r="B705" s="86"/>
      <c r="C705" s="86"/>
      <c r="D705" s="86"/>
    </row>
    <row r="706">
      <c r="B706" s="86"/>
      <c r="C706" s="86"/>
      <c r="D706" s="86"/>
    </row>
    <row r="707">
      <c r="B707" s="86"/>
      <c r="C707" s="86"/>
      <c r="D707" s="86"/>
    </row>
    <row r="708">
      <c r="B708" s="86"/>
      <c r="C708" s="86"/>
      <c r="D708" s="86"/>
    </row>
    <row r="709">
      <c r="B709" s="86"/>
      <c r="C709" s="86"/>
      <c r="D709" s="86"/>
    </row>
    <row r="710">
      <c r="B710" s="86"/>
      <c r="C710" s="86"/>
      <c r="D710" s="86"/>
    </row>
    <row r="711">
      <c r="B711" s="86"/>
      <c r="C711" s="86"/>
      <c r="D711" s="86"/>
    </row>
    <row r="712">
      <c r="B712" s="86"/>
      <c r="C712" s="86"/>
      <c r="D712" s="86"/>
    </row>
    <row r="713">
      <c r="B713" s="86"/>
      <c r="C713" s="86"/>
      <c r="D713" s="86"/>
    </row>
    <row r="714">
      <c r="B714" s="86"/>
      <c r="C714" s="86"/>
      <c r="D714" s="86"/>
    </row>
    <row r="715">
      <c r="B715" s="86"/>
      <c r="C715" s="86"/>
      <c r="D715" s="86"/>
    </row>
    <row r="716">
      <c r="B716" s="86"/>
      <c r="C716" s="86"/>
      <c r="D716" s="86"/>
    </row>
    <row r="717">
      <c r="B717" s="86"/>
      <c r="C717" s="86"/>
      <c r="D717" s="86"/>
    </row>
    <row r="718">
      <c r="B718" s="86"/>
      <c r="C718" s="86"/>
      <c r="D718" s="86"/>
    </row>
    <row r="719">
      <c r="B719" s="86"/>
      <c r="C719" s="86"/>
      <c r="D719" s="86"/>
    </row>
    <row r="720">
      <c r="B720" s="86"/>
      <c r="C720" s="86"/>
      <c r="D720" s="86"/>
    </row>
    <row r="721">
      <c r="B721" s="86"/>
      <c r="C721" s="86"/>
      <c r="D721" s="86"/>
    </row>
    <row r="722">
      <c r="B722" s="86"/>
      <c r="C722" s="86"/>
      <c r="D722" s="86"/>
    </row>
    <row r="723">
      <c r="B723" s="86"/>
      <c r="C723" s="86"/>
      <c r="D723" s="86"/>
    </row>
    <row r="724">
      <c r="B724" s="86"/>
      <c r="C724" s="86"/>
      <c r="D724" s="86"/>
    </row>
    <row r="725">
      <c r="B725" s="86"/>
      <c r="C725" s="86"/>
      <c r="D725" s="86"/>
    </row>
    <row r="726">
      <c r="B726" s="86"/>
      <c r="C726" s="86"/>
      <c r="D726" s="86"/>
    </row>
    <row r="727">
      <c r="B727" s="86"/>
      <c r="C727" s="86"/>
      <c r="D727" s="86"/>
    </row>
    <row r="728">
      <c r="B728" s="86"/>
      <c r="C728" s="86"/>
      <c r="D728" s="86"/>
    </row>
    <row r="729">
      <c r="B729" s="86"/>
      <c r="C729" s="86"/>
      <c r="D729" s="86"/>
    </row>
    <row r="730">
      <c r="B730" s="86"/>
      <c r="C730" s="86"/>
      <c r="D730" s="86"/>
    </row>
    <row r="731">
      <c r="B731" s="86"/>
      <c r="C731" s="86"/>
      <c r="D731" s="86"/>
    </row>
    <row r="732">
      <c r="B732" s="86"/>
      <c r="C732" s="86"/>
      <c r="D732" s="86"/>
    </row>
    <row r="733">
      <c r="B733" s="86"/>
      <c r="C733" s="86"/>
      <c r="D733" s="86"/>
    </row>
    <row r="734">
      <c r="B734" s="86"/>
      <c r="C734" s="86"/>
      <c r="D734" s="86"/>
    </row>
    <row r="735">
      <c r="B735" s="86"/>
      <c r="C735" s="86"/>
      <c r="D735" s="86"/>
    </row>
    <row r="736">
      <c r="B736" s="86"/>
      <c r="C736" s="86"/>
      <c r="D736" s="86"/>
    </row>
    <row r="737">
      <c r="B737" s="86"/>
      <c r="C737" s="86"/>
      <c r="D737" s="86"/>
    </row>
    <row r="738">
      <c r="B738" s="86"/>
      <c r="C738" s="86"/>
      <c r="D738" s="86"/>
    </row>
    <row r="739">
      <c r="B739" s="86"/>
      <c r="C739" s="86"/>
      <c r="D739" s="86"/>
    </row>
    <row r="740">
      <c r="B740" s="86"/>
      <c r="C740" s="86"/>
      <c r="D740" s="86"/>
    </row>
    <row r="741">
      <c r="B741" s="86"/>
      <c r="C741" s="86"/>
      <c r="D741" s="86"/>
    </row>
    <row r="742">
      <c r="B742" s="86"/>
      <c r="C742" s="86"/>
      <c r="D742" s="86"/>
    </row>
    <row r="743">
      <c r="B743" s="86"/>
      <c r="C743" s="86"/>
      <c r="D743" s="86"/>
    </row>
    <row r="744">
      <c r="B744" s="86"/>
      <c r="C744" s="86"/>
      <c r="D744" s="86"/>
    </row>
    <row r="745">
      <c r="B745" s="86"/>
      <c r="C745" s="86"/>
      <c r="D745" s="86"/>
    </row>
    <row r="746">
      <c r="B746" s="86"/>
      <c r="C746" s="86"/>
      <c r="D746" s="86"/>
    </row>
    <row r="747">
      <c r="B747" s="86"/>
      <c r="C747" s="86"/>
      <c r="D747" s="86"/>
    </row>
    <row r="748">
      <c r="B748" s="86"/>
      <c r="C748" s="86"/>
      <c r="D748" s="86"/>
    </row>
    <row r="749">
      <c r="B749" s="86"/>
      <c r="C749" s="86"/>
      <c r="D749" s="86"/>
    </row>
    <row r="750">
      <c r="B750" s="86"/>
      <c r="C750" s="86"/>
      <c r="D750" s="86"/>
    </row>
    <row r="751">
      <c r="B751" s="86"/>
      <c r="C751" s="86"/>
      <c r="D751" s="86"/>
    </row>
    <row r="752">
      <c r="B752" s="86"/>
      <c r="C752" s="86"/>
      <c r="D752" s="86"/>
    </row>
    <row r="753">
      <c r="B753" s="86"/>
      <c r="C753" s="86"/>
      <c r="D753" s="86"/>
    </row>
    <row r="754">
      <c r="B754" s="86"/>
      <c r="C754" s="86"/>
      <c r="D754" s="86"/>
    </row>
    <row r="755">
      <c r="B755" s="86"/>
      <c r="C755" s="86"/>
      <c r="D755" s="86"/>
    </row>
    <row r="756">
      <c r="B756" s="86"/>
      <c r="C756" s="86"/>
      <c r="D756" s="86"/>
    </row>
    <row r="757">
      <c r="B757" s="86"/>
      <c r="C757" s="86"/>
      <c r="D757" s="86"/>
    </row>
    <row r="758">
      <c r="B758" s="86"/>
      <c r="C758" s="86"/>
      <c r="D758" s="86"/>
    </row>
    <row r="759">
      <c r="B759" s="86"/>
      <c r="C759" s="86"/>
      <c r="D759" s="86"/>
    </row>
    <row r="760">
      <c r="B760" s="86"/>
      <c r="C760" s="86"/>
      <c r="D760" s="86"/>
    </row>
    <row r="761">
      <c r="B761" s="86"/>
      <c r="C761" s="86"/>
      <c r="D761" s="86"/>
    </row>
    <row r="762">
      <c r="B762" s="86"/>
      <c r="C762" s="86"/>
      <c r="D762" s="86"/>
    </row>
    <row r="763">
      <c r="B763" s="86"/>
      <c r="C763" s="86"/>
      <c r="D763" s="86"/>
    </row>
    <row r="764">
      <c r="B764" s="86"/>
      <c r="C764" s="86"/>
      <c r="D764" s="86"/>
    </row>
    <row r="765">
      <c r="B765" s="86"/>
      <c r="C765" s="86"/>
      <c r="D765" s="86"/>
    </row>
    <row r="766">
      <c r="B766" s="86"/>
      <c r="C766" s="86"/>
      <c r="D766" s="86"/>
    </row>
    <row r="767">
      <c r="B767" s="86"/>
      <c r="C767" s="86"/>
      <c r="D767" s="86"/>
    </row>
    <row r="768">
      <c r="B768" s="86"/>
      <c r="C768" s="86"/>
      <c r="D768" s="86"/>
    </row>
    <row r="769">
      <c r="B769" s="86"/>
      <c r="C769" s="86"/>
      <c r="D769" s="86"/>
    </row>
    <row r="770">
      <c r="B770" s="86"/>
      <c r="C770" s="86"/>
      <c r="D770" s="86"/>
    </row>
    <row r="771">
      <c r="B771" s="86"/>
      <c r="C771" s="86"/>
      <c r="D771" s="86"/>
    </row>
    <row r="772">
      <c r="B772" s="86"/>
      <c r="C772" s="86"/>
      <c r="D772" s="86"/>
    </row>
    <row r="773">
      <c r="B773" s="86"/>
      <c r="C773" s="86"/>
      <c r="D773" s="86"/>
    </row>
    <row r="774">
      <c r="B774" s="86"/>
      <c r="C774" s="86"/>
      <c r="D774" s="86"/>
    </row>
    <row r="775">
      <c r="B775" s="86"/>
      <c r="C775" s="86"/>
      <c r="D775" s="86"/>
    </row>
    <row r="776">
      <c r="B776" s="86"/>
      <c r="C776" s="86"/>
      <c r="D776" s="86"/>
    </row>
    <row r="777">
      <c r="B777" s="86"/>
      <c r="C777" s="86"/>
      <c r="D777" s="86"/>
    </row>
    <row r="778">
      <c r="B778" s="86"/>
      <c r="C778" s="86"/>
      <c r="D778" s="86"/>
    </row>
    <row r="779">
      <c r="B779" s="86"/>
      <c r="C779" s="86"/>
      <c r="D779" s="86"/>
    </row>
    <row r="780">
      <c r="B780" s="86"/>
      <c r="C780" s="86"/>
      <c r="D780" s="86"/>
    </row>
    <row r="781">
      <c r="B781" s="86"/>
      <c r="C781" s="86"/>
      <c r="D781" s="86"/>
    </row>
    <row r="782">
      <c r="B782" s="86"/>
      <c r="C782" s="86"/>
      <c r="D782" s="86"/>
    </row>
    <row r="783">
      <c r="B783" s="86"/>
      <c r="C783" s="86"/>
      <c r="D783" s="86"/>
    </row>
    <row r="784">
      <c r="B784" s="86"/>
      <c r="C784" s="86"/>
      <c r="D784" s="86"/>
    </row>
    <row r="785">
      <c r="B785" s="86"/>
      <c r="C785" s="86"/>
      <c r="D785" s="86"/>
    </row>
    <row r="786">
      <c r="B786" s="86"/>
      <c r="C786" s="86"/>
      <c r="D786" s="86"/>
    </row>
    <row r="787">
      <c r="B787" s="86"/>
      <c r="C787" s="86"/>
      <c r="D787" s="86"/>
    </row>
    <row r="788">
      <c r="B788" s="86"/>
      <c r="C788" s="86"/>
      <c r="D788" s="86"/>
    </row>
    <row r="789">
      <c r="B789" s="86"/>
      <c r="C789" s="86"/>
      <c r="D789" s="86"/>
    </row>
    <row r="790">
      <c r="B790" s="86"/>
      <c r="C790" s="86"/>
      <c r="D790" s="86"/>
    </row>
    <row r="791">
      <c r="B791" s="86"/>
      <c r="C791" s="86"/>
      <c r="D791" s="86"/>
    </row>
    <row r="792">
      <c r="B792" s="86"/>
      <c r="C792" s="86"/>
      <c r="D792" s="86"/>
    </row>
    <row r="793">
      <c r="B793" s="86"/>
      <c r="C793" s="86"/>
      <c r="D793" s="86"/>
    </row>
    <row r="794">
      <c r="B794" s="86"/>
      <c r="C794" s="86"/>
      <c r="D794" s="86"/>
    </row>
    <row r="795">
      <c r="B795" s="86"/>
      <c r="C795" s="86"/>
      <c r="D795" s="86"/>
    </row>
    <row r="796">
      <c r="B796" s="86"/>
      <c r="C796" s="86"/>
      <c r="D796" s="86"/>
    </row>
    <row r="797">
      <c r="B797" s="86"/>
      <c r="C797" s="86"/>
      <c r="D797" s="86"/>
    </row>
    <row r="798">
      <c r="B798" s="86"/>
      <c r="C798" s="86"/>
      <c r="D798" s="86"/>
    </row>
    <row r="799">
      <c r="B799" s="86"/>
      <c r="C799" s="86"/>
      <c r="D799" s="86"/>
    </row>
    <row r="800">
      <c r="B800" s="86"/>
      <c r="C800" s="86"/>
      <c r="D800" s="86"/>
    </row>
    <row r="801">
      <c r="B801" s="86"/>
      <c r="C801" s="86"/>
      <c r="D801" s="86"/>
    </row>
    <row r="802">
      <c r="B802" s="86"/>
      <c r="C802" s="86"/>
      <c r="D802" s="86"/>
    </row>
    <row r="803">
      <c r="B803" s="86"/>
      <c r="C803" s="86"/>
      <c r="D803" s="86"/>
    </row>
    <row r="804">
      <c r="B804" s="86"/>
      <c r="C804" s="86"/>
      <c r="D804" s="86"/>
    </row>
    <row r="805">
      <c r="B805" s="86"/>
      <c r="C805" s="86"/>
      <c r="D805" s="86"/>
    </row>
    <row r="806">
      <c r="B806" s="86"/>
      <c r="C806" s="86"/>
      <c r="D806" s="86"/>
    </row>
    <row r="807">
      <c r="B807" s="86"/>
      <c r="C807" s="86"/>
      <c r="D807" s="86"/>
    </row>
    <row r="808">
      <c r="B808" s="86"/>
      <c r="C808" s="86"/>
      <c r="D808" s="86"/>
    </row>
    <row r="809">
      <c r="B809" s="86"/>
      <c r="C809" s="86"/>
      <c r="D809" s="86"/>
    </row>
    <row r="810">
      <c r="B810" s="86"/>
      <c r="C810" s="86"/>
      <c r="D810" s="86"/>
    </row>
    <row r="811">
      <c r="B811" s="86"/>
      <c r="C811" s="86"/>
      <c r="D811" s="86"/>
    </row>
    <row r="812">
      <c r="B812" s="86"/>
      <c r="C812" s="86"/>
      <c r="D812" s="86"/>
    </row>
    <row r="813">
      <c r="B813" s="86"/>
      <c r="C813" s="86"/>
      <c r="D813" s="86"/>
    </row>
    <row r="814">
      <c r="B814" s="86"/>
      <c r="C814" s="86"/>
      <c r="D814" s="86"/>
    </row>
    <row r="815">
      <c r="B815" s="86"/>
      <c r="C815" s="86"/>
      <c r="D815" s="86"/>
    </row>
    <row r="816">
      <c r="B816" s="86"/>
      <c r="C816" s="86"/>
      <c r="D816" s="86"/>
    </row>
    <row r="817">
      <c r="B817" s="86"/>
      <c r="C817" s="86"/>
      <c r="D817" s="86"/>
    </row>
    <row r="818">
      <c r="B818" s="86"/>
      <c r="C818" s="86"/>
      <c r="D818" s="86"/>
    </row>
    <row r="819">
      <c r="B819" s="86"/>
      <c r="C819" s="86"/>
      <c r="D819" s="86"/>
    </row>
    <row r="820">
      <c r="B820" s="86"/>
      <c r="C820" s="86"/>
      <c r="D820" s="86"/>
    </row>
    <row r="821">
      <c r="B821" s="86"/>
      <c r="C821" s="86"/>
      <c r="D821" s="86"/>
    </row>
    <row r="822">
      <c r="B822" s="86"/>
      <c r="C822" s="86"/>
      <c r="D822" s="86"/>
    </row>
    <row r="823">
      <c r="B823" s="86"/>
      <c r="C823" s="86"/>
      <c r="D823" s="86"/>
    </row>
    <row r="824">
      <c r="B824" s="86"/>
      <c r="C824" s="86"/>
      <c r="D824" s="86"/>
    </row>
    <row r="825">
      <c r="B825" s="86"/>
      <c r="C825" s="86"/>
      <c r="D825" s="86"/>
    </row>
    <row r="826">
      <c r="B826" s="86"/>
      <c r="C826" s="86"/>
      <c r="D826" s="86"/>
    </row>
    <row r="827">
      <c r="B827" s="86"/>
      <c r="C827" s="86"/>
      <c r="D827" s="86"/>
    </row>
    <row r="828">
      <c r="B828" s="86"/>
      <c r="C828" s="86"/>
      <c r="D828" s="86"/>
    </row>
    <row r="829">
      <c r="B829" s="86"/>
      <c r="C829" s="86"/>
      <c r="D829" s="86"/>
    </row>
    <row r="830">
      <c r="B830" s="86"/>
      <c r="C830" s="86"/>
      <c r="D830" s="86"/>
    </row>
    <row r="831">
      <c r="B831" s="86"/>
      <c r="C831" s="86"/>
      <c r="D831" s="86"/>
    </row>
    <row r="832">
      <c r="B832" s="86"/>
      <c r="C832" s="86"/>
      <c r="D832" s="86"/>
    </row>
    <row r="833">
      <c r="B833" s="86"/>
      <c r="C833" s="86"/>
      <c r="D833" s="86"/>
    </row>
    <row r="834">
      <c r="B834" s="86"/>
      <c r="C834" s="86"/>
      <c r="D834" s="86"/>
    </row>
    <row r="835">
      <c r="B835" s="86"/>
      <c r="C835" s="86"/>
      <c r="D835" s="86"/>
    </row>
    <row r="836">
      <c r="B836" s="86"/>
      <c r="C836" s="86"/>
      <c r="D836" s="86"/>
    </row>
    <row r="837">
      <c r="B837" s="86"/>
      <c r="C837" s="86"/>
      <c r="D837" s="86"/>
    </row>
    <row r="838">
      <c r="B838" s="86"/>
      <c r="C838" s="86"/>
      <c r="D838" s="86"/>
    </row>
    <row r="839">
      <c r="B839" s="86"/>
      <c r="C839" s="86"/>
      <c r="D839" s="86"/>
    </row>
    <row r="840">
      <c r="B840" s="86"/>
      <c r="C840" s="86"/>
      <c r="D840" s="86"/>
    </row>
    <row r="841">
      <c r="B841" s="86"/>
      <c r="C841" s="86"/>
      <c r="D841" s="86"/>
    </row>
    <row r="842">
      <c r="B842" s="86"/>
      <c r="C842" s="86"/>
      <c r="D842" s="86"/>
    </row>
    <row r="843">
      <c r="B843" s="86"/>
      <c r="C843" s="86"/>
      <c r="D843" s="86"/>
    </row>
    <row r="844">
      <c r="B844" s="86"/>
      <c r="C844" s="86"/>
      <c r="D844" s="86"/>
    </row>
    <row r="845">
      <c r="B845" s="86"/>
      <c r="C845" s="86"/>
      <c r="D845" s="86"/>
    </row>
    <row r="846">
      <c r="B846" s="86"/>
      <c r="C846" s="86"/>
      <c r="D846" s="86"/>
    </row>
    <row r="847">
      <c r="B847" s="86"/>
      <c r="C847" s="86"/>
      <c r="D847" s="86"/>
    </row>
    <row r="848">
      <c r="B848" s="86"/>
      <c r="C848" s="86"/>
      <c r="D848" s="86"/>
    </row>
    <row r="849">
      <c r="B849" s="86"/>
      <c r="C849" s="86"/>
      <c r="D849" s="86"/>
    </row>
    <row r="850">
      <c r="B850" s="86"/>
      <c r="C850" s="86"/>
      <c r="D850" s="86"/>
    </row>
    <row r="851">
      <c r="B851" s="86"/>
      <c r="C851" s="86"/>
      <c r="D851" s="86"/>
    </row>
    <row r="852">
      <c r="B852" s="86"/>
      <c r="C852" s="86"/>
      <c r="D852" s="86"/>
    </row>
    <row r="853">
      <c r="B853" s="86"/>
      <c r="C853" s="86"/>
      <c r="D853" s="86"/>
    </row>
    <row r="854">
      <c r="B854" s="86"/>
      <c r="C854" s="86"/>
      <c r="D854" s="86"/>
    </row>
    <row r="855">
      <c r="B855" s="86"/>
      <c r="C855" s="86"/>
      <c r="D855" s="86"/>
    </row>
    <row r="856">
      <c r="B856" s="86"/>
      <c r="C856" s="86"/>
      <c r="D856" s="86"/>
    </row>
    <row r="857">
      <c r="B857" s="86"/>
      <c r="C857" s="86"/>
      <c r="D857" s="86"/>
    </row>
    <row r="858">
      <c r="B858" s="86"/>
      <c r="C858" s="86"/>
      <c r="D858" s="86"/>
    </row>
    <row r="859">
      <c r="B859" s="86"/>
      <c r="C859" s="86"/>
      <c r="D859" s="86"/>
    </row>
    <row r="860">
      <c r="B860" s="86"/>
      <c r="C860" s="86"/>
      <c r="D860" s="86"/>
    </row>
    <row r="861">
      <c r="B861" s="86"/>
      <c r="C861" s="86"/>
      <c r="D861" s="86"/>
    </row>
    <row r="862">
      <c r="B862" s="86"/>
      <c r="C862" s="86"/>
      <c r="D862" s="86"/>
    </row>
    <row r="863">
      <c r="B863" s="86"/>
      <c r="C863" s="86"/>
      <c r="D863" s="86"/>
    </row>
    <row r="864">
      <c r="B864" s="86"/>
      <c r="C864" s="86"/>
      <c r="D864" s="86"/>
    </row>
    <row r="865">
      <c r="B865" s="86"/>
      <c r="C865" s="86"/>
      <c r="D865" s="86"/>
    </row>
    <row r="866">
      <c r="B866" s="86"/>
      <c r="C866" s="86"/>
      <c r="D866" s="86"/>
    </row>
    <row r="867">
      <c r="B867" s="86"/>
      <c r="C867" s="86"/>
      <c r="D867" s="86"/>
    </row>
    <row r="868">
      <c r="B868" s="86"/>
      <c r="C868" s="86"/>
      <c r="D868" s="86"/>
    </row>
    <row r="869">
      <c r="B869" s="86"/>
      <c r="C869" s="86"/>
      <c r="D869" s="86"/>
    </row>
    <row r="870">
      <c r="B870" s="86"/>
      <c r="C870" s="86"/>
      <c r="D870" s="86"/>
    </row>
    <row r="871">
      <c r="B871" s="86"/>
      <c r="C871" s="86"/>
      <c r="D871" s="86"/>
    </row>
    <row r="872">
      <c r="B872" s="86"/>
      <c r="C872" s="86"/>
      <c r="D872" s="86"/>
    </row>
    <row r="873">
      <c r="B873" s="86"/>
      <c r="C873" s="86"/>
      <c r="D873" s="86"/>
    </row>
    <row r="874">
      <c r="B874" s="86"/>
      <c r="C874" s="86"/>
      <c r="D874" s="86"/>
    </row>
    <row r="875">
      <c r="B875" s="86"/>
      <c r="C875" s="86"/>
      <c r="D875" s="86"/>
    </row>
    <row r="876">
      <c r="B876" s="86"/>
      <c r="C876" s="86"/>
      <c r="D876" s="86"/>
    </row>
    <row r="877">
      <c r="B877" s="86"/>
      <c r="C877" s="86"/>
      <c r="D877" s="86"/>
    </row>
    <row r="878">
      <c r="B878" s="86"/>
      <c r="C878" s="86"/>
      <c r="D878" s="86"/>
    </row>
    <row r="879">
      <c r="B879" s="86"/>
      <c r="C879" s="86"/>
      <c r="D879" s="86"/>
    </row>
    <row r="880">
      <c r="B880" s="86"/>
      <c r="C880" s="86"/>
      <c r="D880" s="86"/>
    </row>
    <row r="881">
      <c r="B881" s="86"/>
      <c r="C881" s="86"/>
      <c r="D881" s="86"/>
    </row>
    <row r="882">
      <c r="B882" s="86"/>
      <c r="C882" s="86"/>
      <c r="D882" s="86"/>
    </row>
    <row r="883">
      <c r="B883" s="86"/>
      <c r="C883" s="86"/>
      <c r="D883" s="86"/>
    </row>
    <row r="884">
      <c r="B884" s="86"/>
      <c r="C884" s="86"/>
      <c r="D884" s="86"/>
    </row>
    <row r="885">
      <c r="B885" s="86"/>
      <c r="C885" s="86"/>
      <c r="D885" s="86"/>
    </row>
    <row r="886">
      <c r="B886" s="86"/>
      <c r="C886" s="86"/>
      <c r="D886" s="86"/>
    </row>
    <row r="887">
      <c r="B887" s="86"/>
      <c r="C887" s="86"/>
      <c r="D887" s="86"/>
    </row>
    <row r="888">
      <c r="B888" s="86"/>
      <c r="C888" s="86"/>
      <c r="D888" s="86"/>
    </row>
    <row r="889">
      <c r="B889" s="86"/>
      <c r="C889" s="86"/>
      <c r="D889" s="86"/>
    </row>
    <row r="890">
      <c r="B890" s="86"/>
      <c r="C890" s="86"/>
      <c r="D890" s="86"/>
    </row>
    <row r="891">
      <c r="B891" s="86"/>
      <c r="C891" s="86"/>
      <c r="D891" s="86"/>
    </row>
    <row r="892">
      <c r="B892" s="86"/>
      <c r="C892" s="86"/>
      <c r="D892" s="86"/>
    </row>
    <row r="893">
      <c r="B893" s="86"/>
      <c r="C893" s="86"/>
      <c r="D893" s="86"/>
    </row>
    <row r="894">
      <c r="B894" s="86"/>
      <c r="C894" s="86"/>
      <c r="D894" s="86"/>
    </row>
    <row r="895">
      <c r="B895" s="86"/>
      <c r="C895" s="86"/>
      <c r="D895" s="86"/>
    </row>
    <row r="896">
      <c r="B896" s="86"/>
      <c r="C896" s="86"/>
      <c r="D896" s="86"/>
    </row>
    <row r="897">
      <c r="B897" s="86"/>
      <c r="C897" s="86"/>
      <c r="D897" s="86"/>
    </row>
    <row r="898">
      <c r="B898" s="86"/>
      <c r="C898" s="86"/>
      <c r="D898" s="86"/>
    </row>
    <row r="899">
      <c r="B899" s="86"/>
      <c r="C899" s="86"/>
      <c r="D899" s="86"/>
    </row>
    <row r="900">
      <c r="B900" s="86"/>
      <c r="C900" s="86"/>
      <c r="D900" s="86"/>
    </row>
    <row r="901">
      <c r="B901" s="86"/>
      <c r="C901" s="86"/>
      <c r="D901" s="86"/>
    </row>
    <row r="902">
      <c r="B902" s="86"/>
      <c r="C902" s="86"/>
      <c r="D902" s="86"/>
    </row>
    <row r="903">
      <c r="B903" s="86"/>
      <c r="C903" s="86"/>
      <c r="D903" s="86"/>
    </row>
    <row r="904">
      <c r="B904" s="86"/>
      <c r="C904" s="86"/>
      <c r="D904" s="86"/>
    </row>
    <row r="905">
      <c r="B905" s="86"/>
      <c r="C905" s="86"/>
      <c r="D905" s="86"/>
    </row>
    <row r="906">
      <c r="B906" s="86"/>
      <c r="C906" s="86"/>
      <c r="D906" s="86"/>
    </row>
    <row r="907">
      <c r="B907" s="86"/>
      <c r="C907" s="86"/>
      <c r="D907" s="86"/>
    </row>
    <row r="908">
      <c r="B908" s="86"/>
      <c r="C908" s="86"/>
      <c r="D908" s="86"/>
    </row>
    <row r="909">
      <c r="B909" s="86"/>
      <c r="C909" s="86"/>
      <c r="D909" s="86"/>
    </row>
    <row r="910">
      <c r="B910" s="86"/>
      <c r="C910" s="86"/>
      <c r="D910" s="86"/>
    </row>
    <row r="911">
      <c r="B911" s="86"/>
      <c r="C911" s="86"/>
      <c r="D911" s="86"/>
    </row>
    <row r="912">
      <c r="B912" s="86"/>
      <c r="C912" s="86"/>
      <c r="D912" s="86"/>
    </row>
    <row r="913">
      <c r="B913" s="86"/>
      <c r="C913" s="86"/>
      <c r="D913" s="86"/>
    </row>
    <row r="914">
      <c r="B914" s="86"/>
      <c r="C914" s="86"/>
      <c r="D914" s="86"/>
    </row>
    <row r="915">
      <c r="B915" s="86"/>
      <c r="C915" s="86"/>
      <c r="D915" s="86"/>
    </row>
    <row r="916">
      <c r="B916" s="86"/>
      <c r="C916" s="86"/>
      <c r="D916" s="86"/>
    </row>
    <row r="917">
      <c r="B917" s="86"/>
      <c r="C917" s="86"/>
      <c r="D917" s="86"/>
    </row>
    <row r="918">
      <c r="B918" s="86"/>
      <c r="C918" s="86"/>
      <c r="D918" s="86"/>
    </row>
    <row r="919">
      <c r="B919" s="86"/>
      <c r="C919" s="86"/>
      <c r="D919" s="86"/>
    </row>
    <row r="920">
      <c r="B920" s="86"/>
      <c r="C920" s="86"/>
      <c r="D920" s="86"/>
    </row>
    <row r="921">
      <c r="B921" s="86"/>
      <c r="C921" s="86"/>
      <c r="D921" s="86"/>
    </row>
    <row r="922">
      <c r="B922" s="86"/>
      <c r="C922" s="86"/>
      <c r="D922" s="86"/>
    </row>
    <row r="923">
      <c r="B923" s="86"/>
      <c r="C923" s="86"/>
      <c r="D923" s="86"/>
    </row>
    <row r="924">
      <c r="B924" s="86"/>
      <c r="C924" s="86"/>
      <c r="D924" s="86"/>
    </row>
    <row r="925">
      <c r="B925" s="86"/>
      <c r="C925" s="86"/>
      <c r="D925" s="86"/>
    </row>
    <row r="926">
      <c r="B926" s="86"/>
      <c r="C926" s="86"/>
      <c r="D926" s="86"/>
    </row>
    <row r="927">
      <c r="B927" s="86"/>
      <c r="C927" s="86"/>
      <c r="D927" s="86"/>
    </row>
    <row r="928">
      <c r="B928" s="86"/>
      <c r="C928" s="86"/>
      <c r="D928" s="86"/>
    </row>
    <row r="929">
      <c r="B929" s="86"/>
      <c r="C929" s="86"/>
      <c r="D929" s="86"/>
    </row>
    <row r="930">
      <c r="B930" s="86"/>
      <c r="C930" s="86"/>
      <c r="D930" s="86"/>
    </row>
    <row r="931">
      <c r="B931" s="86"/>
      <c r="C931" s="86"/>
      <c r="D931" s="86"/>
    </row>
    <row r="932">
      <c r="B932" s="86"/>
      <c r="C932" s="86"/>
      <c r="D932" s="86"/>
    </row>
    <row r="933">
      <c r="B933" s="86"/>
      <c r="C933" s="86"/>
      <c r="D933" s="86"/>
    </row>
    <row r="934">
      <c r="B934" s="86"/>
      <c r="C934" s="86"/>
      <c r="D934" s="86"/>
    </row>
    <row r="935">
      <c r="B935" s="86"/>
      <c r="C935" s="86"/>
      <c r="D935" s="86"/>
    </row>
    <row r="936">
      <c r="B936" s="86"/>
      <c r="C936" s="86"/>
      <c r="D936" s="86"/>
    </row>
    <row r="937">
      <c r="B937" s="86"/>
      <c r="C937" s="86"/>
      <c r="D937" s="86"/>
    </row>
    <row r="938">
      <c r="B938" s="86"/>
      <c r="C938" s="86"/>
      <c r="D938" s="86"/>
    </row>
    <row r="939">
      <c r="B939" s="86"/>
      <c r="C939" s="86"/>
      <c r="D939" s="86"/>
    </row>
    <row r="940">
      <c r="B940" s="86"/>
      <c r="C940" s="86"/>
      <c r="D940" s="86"/>
    </row>
    <row r="941">
      <c r="B941" s="86"/>
      <c r="C941" s="86"/>
      <c r="D941" s="86"/>
    </row>
    <row r="942">
      <c r="B942" s="86"/>
      <c r="C942" s="86"/>
      <c r="D942" s="86"/>
    </row>
    <row r="943">
      <c r="B943" s="86"/>
      <c r="C943" s="86"/>
      <c r="D943" s="86"/>
    </row>
    <row r="944">
      <c r="B944" s="86"/>
      <c r="C944" s="86"/>
      <c r="D944" s="86"/>
    </row>
    <row r="945">
      <c r="B945" s="86"/>
      <c r="C945" s="86"/>
      <c r="D945" s="86"/>
    </row>
    <row r="946">
      <c r="B946" s="86"/>
      <c r="C946" s="86"/>
      <c r="D946" s="86"/>
    </row>
    <row r="947">
      <c r="B947" s="86"/>
      <c r="C947" s="86"/>
      <c r="D947" s="86"/>
    </row>
    <row r="948">
      <c r="B948" s="86"/>
      <c r="C948" s="86"/>
      <c r="D948" s="86"/>
    </row>
    <row r="949">
      <c r="B949" s="86"/>
      <c r="C949" s="86"/>
      <c r="D949" s="86"/>
    </row>
    <row r="950">
      <c r="B950" s="86"/>
      <c r="C950" s="86"/>
      <c r="D950" s="86"/>
    </row>
    <row r="951">
      <c r="B951" s="86"/>
      <c r="C951" s="86"/>
      <c r="D951" s="86"/>
    </row>
    <row r="952">
      <c r="B952" s="86"/>
      <c r="C952" s="86"/>
      <c r="D952" s="86"/>
    </row>
    <row r="953">
      <c r="B953" s="86"/>
      <c r="C953" s="86"/>
      <c r="D953" s="86"/>
    </row>
    <row r="954">
      <c r="B954" s="86"/>
      <c r="C954" s="86"/>
      <c r="D954" s="86"/>
    </row>
    <row r="955">
      <c r="B955" s="86"/>
      <c r="C955" s="86"/>
      <c r="D955" s="86"/>
    </row>
    <row r="956">
      <c r="B956" s="86"/>
      <c r="C956" s="86"/>
      <c r="D956" s="86"/>
    </row>
    <row r="957">
      <c r="B957" s="86"/>
      <c r="C957" s="86"/>
      <c r="D957" s="86"/>
    </row>
    <row r="958">
      <c r="B958" s="86"/>
      <c r="C958" s="86"/>
      <c r="D958" s="86"/>
    </row>
    <row r="959">
      <c r="B959" s="86"/>
      <c r="C959" s="86"/>
      <c r="D959" s="86"/>
    </row>
    <row r="960">
      <c r="B960" s="86"/>
      <c r="C960" s="86"/>
      <c r="D960" s="86"/>
    </row>
    <row r="961">
      <c r="B961" s="86"/>
      <c r="C961" s="86"/>
      <c r="D961" s="86"/>
    </row>
    <row r="962">
      <c r="B962" s="86"/>
      <c r="C962" s="86"/>
      <c r="D962" s="86"/>
    </row>
    <row r="963">
      <c r="B963" s="86"/>
      <c r="C963" s="86"/>
      <c r="D963" s="86"/>
    </row>
    <row r="964">
      <c r="B964" s="86"/>
      <c r="C964" s="86"/>
      <c r="D964" s="86"/>
    </row>
    <row r="965">
      <c r="B965" s="86"/>
      <c r="C965" s="86"/>
      <c r="D965" s="86"/>
    </row>
    <row r="966">
      <c r="B966" s="86"/>
      <c r="C966" s="86"/>
      <c r="D966" s="86"/>
    </row>
    <row r="967">
      <c r="B967" s="86"/>
      <c r="C967" s="86"/>
      <c r="D967" s="86"/>
    </row>
    <row r="968">
      <c r="B968" s="86"/>
      <c r="C968" s="86"/>
      <c r="D968" s="86"/>
    </row>
    <row r="969">
      <c r="B969" s="86"/>
      <c r="C969" s="86"/>
      <c r="D969" s="86"/>
    </row>
    <row r="970">
      <c r="B970" s="86"/>
      <c r="C970" s="86"/>
      <c r="D970" s="86"/>
    </row>
    <row r="971">
      <c r="B971" s="86"/>
      <c r="C971" s="86"/>
      <c r="D971" s="86"/>
    </row>
    <row r="972">
      <c r="B972" s="86"/>
      <c r="C972" s="86"/>
      <c r="D972" s="86"/>
    </row>
    <row r="973">
      <c r="B973" s="86"/>
      <c r="C973" s="86"/>
      <c r="D973" s="86"/>
    </row>
    <row r="974">
      <c r="B974" s="86"/>
      <c r="C974" s="86"/>
      <c r="D974" s="86"/>
    </row>
    <row r="975">
      <c r="B975" s="86"/>
      <c r="C975" s="86"/>
      <c r="D975" s="86"/>
    </row>
    <row r="976">
      <c r="B976" s="86"/>
      <c r="C976" s="86"/>
      <c r="D976" s="86"/>
    </row>
    <row r="977">
      <c r="B977" s="86"/>
      <c r="C977" s="86"/>
      <c r="D977" s="86"/>
    </row>
    <row r="978">
      <c r="B978" s="86"/>
      <c r="C978" s="86"/>
      <c r="D978" s="86"/>
    </row>
    <row r="979">
      <c r="B979" s="86"/>
      <c r="C979" s="86"/>
      <c r="D979" s="86"/>
    </row>
    <row r="980">
      <c r="B980" s="86"/>
      <c r="C980" s="86"/>
      <c r="D980" s="86"/>
    </row>
    <row r="981">
      <c r="B981" s="86"/>
      <c r="C981" s="86"/>
      <c r="D981" s="86"/>
    </row>
    <row r="982">
      <c r="B982" s="86"/>
      <c r="C982" s="86"/>
      <c r="D982" s="86"/>
    </row>
    <row r="983">
      <c r="B983" s="86"/>
      <c r="C983" s="86"/>
      <c r="D983" s="86"/>
    </row>
    <row r="984">
      <c r="B984" s="86"/>
      <c r="C984" s="86"/>
      <c r="D984" s="86"/>
    </row>
    <row r="985">
      <c r="B985" s="86"/>
      <c r="C985" s="86"/>
      <c r="D985" s="86"/>
    </row>
    <row r="986">
      <c r="B986" s="86"/>
      <c r="C986" s="86"/>
      <c r="D986" s="86"/>
    </row>
    <row r="987">
      <c r="B987" s="86"/>
      <c r="C987" s="86"/>
      <c r="D987" s="86"/>
    </row>
    <row r="988">
      <c r="B988" s="86"/>
      <c r="C988" s="86"/>
      <c r="D988" s="86"/>
    </row>
    <row r="989">
      <c r="B989" s="86"/>
      <c r="C989" s="86"/>
      <c r="D989" s="86"/>
    </row>
    <row r="990">
      <c r="B990" s="86"/>
      <c r="C990" s="86"/>
      <c r="D990" s="86"/>
    </row>
    <row r="991">
      <c r="B991" s="86"/>
      <c r="C991" s="86"/>
      <c r="D991" s="86"/>
    </row>
    <row r="992">
      <c r="B992" s="86"/>
      <c r="C992" s="86"/>
      <c r="D992" s="86"/>
    </row>
    <row r="993">
      <c r="B993" s="86"/>
      <c r="C993" s="86"/>
      <c r="D993" s="86"/>
    </row>
    <row r="994">
      <c r="B994" s="86"/>
      <c r="C994" s="86"/>
      <c r="D994" s="86"/>
    </row>
    <row r="995">
      <c r="B995" s="86"/>
      <c r="C995" s="86"/>
      <c r="D995" s="86"/>
    </row>
    <row r="996">
      <c r="B996" s="86"/>
      <c r="C996" s="86"/>
      <c r="D996" s="86"/>
    </row>
    <row r="997">
      <c r="B997" s="86"/>
      <c r="C997" s="86"/>
      <c r="D997" s="86"/>
    </row>
    <row r="998">
      <c r="B998" s="86"/>
      <c r="C998" s="86"/>
      <c r="D998" s="86"/>
    </row>
    <row r="999">
      <c r="B999" s="86"/>
      <c r="C999" s="86"/>
      <c r="D999" s="86"/>
    </row>
    <row r="1000">
      <c r="B1000" s="86"/>
      <c r="C1000" s="86"/>
      <c r="D1000" s="86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8">
        <v>2022.0</v>
      </c>
      <c r="B1" s="200">
        <f>SUM('ОСНОВА'!K185:K227)</f>
        <v>0</v>
      </c>
      <c r="C1" s="200">
        <f>B1*5</f>
        <v>0</v>
      </c>
      <c r="D1" s="200">
        <v>0.0</v>
      </c>
    </row>
    <row r="2">
      <c r="A2" s="68">
        <v>2023.0</v>
      </c>
      <c r="B2" s="200">
        <f>SUM('ОСНОВА'!V132:V184)</f>
        <v>332</v>
      </c>
      <c r="C2" s="200">
        <f t="shared" ref="C2:C4" si="1">B2</f>
        <v>332</v>
      </c>
      <c r="D2" s="200">
        <v>0.0</v>
      </c>
    </row>
    <row r="3">
      <c r="A3" s="68">
        <v>2024.0</v>
      </c>
      <c r="B3" s="200">
        <f>SUM('ОСНОВА'!V79:V131)</f>
        <v>867</v>
      </c>
      <c r="C3" s="200">
        <f t="shared" si="1"/>
        <v>867</v>
      </c>
      <c r="D3" s="200">
        <v>0.0</v>
      </c>
    </row>
    <row r="4">
      <c r="A4" s="68">
        <v>2025.0</v>
      </c>
      <c r="B4" s="200">
        <f>SUM('ОСНОВА'!V5:V78)</f>
        <v>2296</v>
      </c>
      <c r="C4" s="200">
        <f t="shared" si="1"/>
        <v>2296</v>
      </c>
      <c r="D4" s="86">
        <f>'ОСНОВА'!V4</f>
        <v>22.99342105</v>
      </c>
    </row>
    <row r="5">
      <c r="B5" s="86"/>
      <c r="C5" s="86"/>
      <c r="D5" s="86"/>
    </row>
    <row r="6">
      <c r="B6" s="86"/>
      <c r="C6" s="86"/>
      <c r="D6" s="86"/>
    </row>
    <row r="7">
      <c r="B7" s="86"/>
      <c r="C7" s="86"/>
      <c r="D7" s="86"/>
    </row>
    <row r="8">
      <c r="B8" s="86"/>
      <c r="C8" s="86"/>
      <c r="D8" s="86"/>
    </row>
    <row r="9">
      <c r="B9" s="86"/>
      <c r="C9" s="86"/>
      <c r="D9" s="86"/>
    </row>
    <row r="10">
      <c r="B10" s="86"/>
      <c r="C10" s="86"/>
      <c r="D10" s="86"/>
    </row>
    <row r="11">
      <c r="B11" s="86"/>
      <c r="C11" s="86"/>
      <c r="D11" s="86"/>
    </row>
    <row r="12">
      <c r="B12" s="86"/>
      <c r="C12" s="86"/>
      <c r="D12" s="86"/>
    </row>
    <row r="13">
      <c r="B13" s="86"/>
      <c r="C13" s="86"/>
      <c r="D13" s="86"/>
    </row>
    <row r="14">
      <c r="B14" s="86"/>
      <c r="C14" s="86"/>
      <c r="D14" s="86"/>
    </row>
    <row r="15">
      <c r="B15" s="86"/>
      <c r="C15" s="86"/>
      <c r="D15" s="86"/>
    </row>
    <row r="16">
      <c r="B16" s="86"/>
      <c r="C16" s="86"/>
      <c r="D16" s="86"/>
    </row>
    <row r="17">
      <c r="B17" s="86">
        <f>C3-C4</f>
        <v>-1429</v>
      </c>
      <c r="C17" s="86">
        <f>B17/5</f>
        <v>-285.8</v>
      </c>
      <c r="D17" s="86">
        <f>C17/6</f>
        <v>-47.63333333</v>
      </c>
    </row>
    <row r="18">
      <c r="B18" s="86"/>
      <c r="C18" s="86"/>
      <c r="D18" s="86"/>
    </row>
    <row r="19">
      <c r="B19" s="200">
        <v>7725.0</v>
      </c>
      <c r="C19" s="86"/>
      <c r="D19" s="86">
        <f>B19*5</f>
        <v>38625</v>
      </c>
    </row>
    <row r="20">
      <c r="A20" s="82">
        <f>B20/8</f>
        <v>154.875</v>
      </c>
      <c r="B20" s="86">
        <f>C20/5</f>
        <v>1239</v>
      </c>
      <c r="C20" s="200">
        <v>6195.0</v>
      </c>
      <c r="D20" s="86"/>
    </row>
    <row r="21">
      <c r="B21" s="86"/>
      <c r="C21" s="86"/>
      <c r="D21" s="86"/>
    </row>
    <row r="22">
      <c r="B22" s="86"/>
      <c r="C22" s="86"/>
      <c r="D22" s="86"/>
    </row>
    <row r="23">
      <c r="B23" s="86"/>
      <c r="C23" s="86"/>
      <c r="D23" s="86"/>
    </row>
    <row r="24">
      <c r="B24" s="86"/>
      <c r="C24" s="86"/>
      <c r="D24" s="86"/>
    </row>
    <row r="25">
      <c r="B25" s="86"/>
      <c r="C25" s="86"/>
      <c r="D25" s="86"/>
    </row>
    <row r="26">
      <c r="B26" s="86"/>
      <c r="C26" s="86"/>
      <c r="D26" s="86"/>
    </row>
    <row r="27">
      <c r="B27" s="86"/>
      <c r="C27" s="86"/>
      <c r="D27" s="86"/>
    </row>
    <row r="28">
      <c r="B28" s="86"/>
      <c r="C28" s="86"/>
      <c r="D28" s="86"/>
    </row>
    <row r="29">
      <c r="B29" s="86"/>
      <c r="C29" s="86"/>
      <c r="D29" s="86"/>
    </row>
    <row r="30">
      <c r="B30" s="86"/>
      <c r="C30" s="86"/>
      <c r="D30" s="86"/>
    </row>
    <row r="31">
      <c r="B31" s="86"/>
      <c r="C31" s="86"/>
      <c r="D31" s="86"/>
      <c r="N31" s="201"/>
    </row>
    <row r="32">
      <c r="B32" s="86"/>
      <c r="C32" s="86"/>
      <c r="D32" s="86"/>
    </row>
    <row r="33">
      <c r="B33" s="86"/>
      <c r="C33" s="86"/>
      <c r="D33" s="86"/>
    </row>
    <row r="34">
      <c r="B34" s="86"/>
      <c r="C34" s="86"/>
      <c r="D34" s="86"/>
    </row>
    <row r="35">
      <c r="B35" s="86"/>
      <c r="C35" s="86"/>
      <c r="D35" s="86"/>
    </row>
    <row r="36">
      <c r="B36" s="86"/>
      <c r="C36" s="86"/>
      <c r="D36" s="86"/>
    </row>
    <row r="37">
      <c r="B37" s="86"/>
      <c r="C37" s="86"/>
      <c r="D37" s="86"/>
    </row>
    <row r="38">
      <c r="B38" s="86"/>
      <c r="C38" s="86"/>
      <c r="D38" s="86"/>
    </row>
    <row r="39">
      <c r="B39" s="86"/>
      <c r="C39" s="86"/>
      <c r="D39" s="86"/>
    </row>
    <row r="40">
      <c r="B40" s="86"/>
      <c r="C40" s="86"/>
      <c r="D40" s="86"/>
    </row>
    <row r="41">
      <c r="B41" s="86"/>
      <c r="C41" s="86"/>
      <c r="D41" s="86"/>
    </row>
    <row r="42">
      <c r="B42" s="86"/>
      <c r="C42" s="86"/>
      <c r="D42" s="86"/>
    </row>
    <row r="43">
      <c r="B43" s="86"/>
      <c r="C43" s="86"/>
      <c r="D43" s="86"/>
    </row>
    <row r="44">
      <c r="B44" s="86"/>
      <c r="C44" s="86"/>
      <c r="D44" s="86"/>
    </row>
    <row r="45">
      <c r="B45" s="86"/>
      <c r="C45" s="86"/>
      <c r="D45" s="86"/>
    </row>
    <row r="46">
      <c r="B46" s="86"/>
      <c r="C46" s="86"/>
      <c r="D46" s="86"/>
    </row>
    <row r="47">
      <c r="B47" s="86"/>
      <c r="C47" s="86"/>
      <c r="D47" s="86"/>
    </row>
    <row r="48">
      <c r="B48" s="86"/>
      <c r="C48" s="86"/>
      <c r="D48" s="86"/>
    </row>
    <row r="49">
      <c r="B49" s="86"/>
      <c r="C49" s="86"/>
      <c r="D49" s="86"/>
    </row>
    <row r="50">
      <c r="B50" s="86"/>
      <c r="C50" s="86"/>
      <c r="D50" s="86"/>
    </row>
    <row r="51">
      <c r="B51" s="86"/>
      <c r="C51" s="86"/>
      <c r="D51" s="86"/>
    </row>
    <row r="52">
      <c r="B52" s="86"/>
      <c r="C52" s="86"/>
      <c r="D52" s="86"/>
    </row>
    <row r="53">
      <c r="B53" s="86"/>
      <c r="C53" s="86"/>
      <c r="D53" s="86"/>
    </row>
    <row r="54">
      <c r="B54" s="86"/>
      <c r="C54" s="86"/>
      <c r="D54" s="86"/>
    </row>
    <row r="55">
      <c r="B55" s="86"/>
      <c r="C55" s="86"/>
      <c r="D55" s="86"/>
    </row>
    <row r="56">
      <c r="B56" s="86"/>
      <c r="C56" s="86"/>
      <c r="D56" s="86"/>
    </row>
    <row r="57">
      <c r="B57" s="86"/>
      <c r="C57" s="86"/>
      <c r="D57" s="86"/>
    </row>
    <row r="58">
      <c r="B58" s="86"/>
      <c r="C58" s="86"/>
      <c r="D58" s="86"/>
    </row>
    <row r="59">
      <c r="B59" s="86"/>
      <c r="C59" s="86"/>
      <c r="D59" s="86"/>
    </row>
    <row r="60">
      <c r="B60" s="86"/>
      <c r="C60" s="86"/>
      <c r="D60" s="86"/>
    </row>
    <row r="61">
      <c r="B61" s="86"/>
      <c r="C61" s="86"/>
      <c r="D61" s="86"/>
    </row>
    <row r="62">
      <c r="B62" s="86"/>
      <c r="C62" s="86"/>
      <c r="D62" s="86"/>
    </row>
    <row r="63">
      <c r="B63" s="86"/>
      <c r="C63" s="86"/>
      <c r="D63" s="86"/>
    </row>
    <row r="64">
      <c r="B64" s="86"/>
      <c r="C64" s="86"/>
      <c r="D64" s="86"/>
    </row>
    <row r="65">
      <c r="B65" s="86"/>
      <c r="C65" s="86"/>
      <c r="D65" s="86"/>
    </row>
    <row r="66">
      <c r="B66" s="86"/>
      <c r="C66" s="86"/>
      <c r="D66" s="86"/>
    </row>
    <row r="67">
      <c r="B67" s="86"/>
      <c r="C67" s="86"/>
      <c r="D67" s="86"/>
    </row>
    <row r="68">
      <c r="B68" s="86"/>
      <c r="C68" s="86"/>
      <c r="D68" s="86"/>
    </row>
    <row r="69">
      <c r="B69" s="86"/>
      <c r="C69" s="86"/>
      <c r="D69" s="86"/>
    </row>
    <row r="70">
      <c r="B70" s="86"/>
      <c r="C70" s="86"/>
      <c r="D70" s="86"/>
    </row>
    <row r="71">
      <c r="B71" s="86"/>
      <c r="C71" s="86"/>
      <c r="D71" s="86"/>
    </row>
    <row r="72">
      <c r="B72" s="86"/>
      <c r="C72" s="86"/>
      <c r="D72" s="86"/>
    </row>
    <row r="73">
      <c r="B73" s="86"/>
      <c r="C73" s="86"/>
      <c r="D73" s="86"/>
    </row>
    <row r="74">
      <c r="B74" s="86"/>
      <c r="C74" s="86"/>
      <c r="D74" s="86"/>
    </row>
    <row r="75">
      <c r="B75" s="86"/>
      <c r="C75" s="86"/>
      <c r="D75" s="86"/>
    </row>
    <row r="76">
      <c r="B76" s="86"/>
      <c r="C76" s="86"/>
      <c r="D76" s="86"/>
    </row>
    <row r="77">
      <c r="B77" s="86"/>
      <c r="C77" s="86"/>
      <c r="D77" s="86"/>
    </row>
    <row r="78">
      <c r="B78" s="86"/>
      <c r="C78" s="86"/>
      <c r="D78" s="86"/>
    </row>
    <row r="79">
      <c r="B79" s="86"/>
      <c r="C79" s="86"/>
      <c r="D79" s="86"/>
    </row>
    <row r="80">
      <c r="B80" s="86"/>
      <c r="C80" s="86"/>
      <c r="D80" s="86"/>
    </row>
    <row r="81">
      <c r="B81" s="86"/>
      <c r="C81" s="86"/>
      <c r="D81" s="86"/>
    </row>
    <row r="82">
      <c r="B82" s="86"/>
      <c r="C82" s="86"/>
      <c r="D82" s="86"/>
    </row>
    <row r="83">
      <c r="B83" s="86"/>
      <c r="C83" s="86"/>
      <c r="D83" s="86"/>
    </row>
    <row r="84">
      <c r="B84" s="86"/>
      <c r="C84" s="86"/>
      <c r="D84" s="86"/>
    </row>
    <row r="85">
      <c r="B85" s="86"/>
      <c r="C85" s="86"/>
      <c r="D85" s="86"/>
    </row>
    <row r="86">
      <c r="B86" s="86"/>
      <c r="C86" s="86"/>
      <c r="D86" s="86"/>
    </row>
    <row r="87">
      <c r="B87" s="86"/>
      <c r="C87" s="86"/>
      <c r="D87" s="86"/>
    </row>
    <row r="88">
      <c r="B88" s="86"/>
      <c r="C88" s="86"/>
      <c r="D88" s="86"/>
    </row>
    <row r="89">
      <c r="B89" s="86"/>
      <c r="C89" s="86"/>
      <c r="D89" s="86"/>
    </row>
    <row r="90">
      <c r="B90" s="86"/>
      <c r="C90" s="86"/>
      <c r="D90" s="86"/>
    </row>
    <row r="91">
      <c r="B91" s="86"/>
      <c r="C91" s="86"/>
      <c r="D91" s="86"/>
    </row>
    <row r="92">
      <c r="B92" s="86"/>
      <c r="C92" s="86"/>
      <c r="D92" s="86"/>
    </row>
    <row r="93">
      <c r="B93" s="86"/>
      <c r="C93" s="86"/>
      <c r="D93" s="86"/>
    </row>
    <row r="94">
      <c r="B94" s="86"/>
      <c r="C94" s="86"/>
      <c r="D94" s="86"/>
    </row>
    <row r="95">
      <c r="B95" s="86"/>
      <c r="C95" s="86"/>
      <c r="D95" s="86"/>
    </row>
    <row r="96">
      <c r="B96" s="86"/>
      <c r="C96" s="86"/>
      <c r="D96" s="86"/>
    </row>
    <row r="97">
      <c r="B97" s="86"/>
      <c r="C97" s="86"/>
      <c r="D97" s="86"/>
    </row>
    <row r="98">
      <c r="B98" s="86"/>
      <c r="C98" s="86"/>
      <c r="D98" s="86"/>
    </row>
    <row r="99">
      <c r="B99" s="86"/>
      <c r="C99" s="86"/>
      <c r="D99" s="86"/>
    </row>
    <row r="100">
      <c r="B100" s="86"/>
      <c r="C100" s="86"/>
      <c r="D100" s="86"/>
    </row>
    <row r="101">
      <c r="B101" s="86"/>
      <c r="C101" s="86"/>
      <c r="D101" s="86"/>
    </row>
    <row r="102">
      <c r="B102" s="86"/>
      <c r="C102" s="86"/>
      <c r="D102" s="86"/>
    </row>
    <row r="103">
      <c r="B103" s="86"/>
      <c r="C103" s="86"/>
      <c r="D103" s="86"/>
    </row>
    <row r="104">
      <c r="B104" s="86"/>
      <c r="C104" s="86"/>
      <c r="D104" s="86"/>
    </row>
    <row r="105">
      <c r="B105" s="86"/>
      <c r="C105" s="86"/>
      <c r="D105" s="86"/>
    </row>
    <row r="106">
      <c r="B106" s="86"/>
      <c r="C106" s="86"/>
      <c r="D106" s="86"/>
    </row>
    <row r="107">
      <c r="B107" s="86"/>
      <c r="C107" s="86"/>
      <c r="D107" s="86"/>
    </row>
    <row r="108">
      <c r="B108" s="86"/>
      <c r="C108" s="86"/>
      <c r="D108" s="86"/>
    </row>
    <row r="109">
      <c r="B109" s="86"/>
      <c r="C109" s="86"/>
      <c r="D109" s="86"/>
    </row>
    <row r="110">
      <c r="B110" s="86"/>
      <c r="C110" s="86"/>
      <c r="D110" s="86"/>
    </row>
    <row r="111">
      <c r="B111" s="86"/>
      <c r="C111" s="86"/>
      <c r="D111" s="86"/>
    </row>
    <row r="112">
      <c r="B112" s="86"/>
      <c r="C112" s="86"/>
      <c r="D112" s="86"/>
    </row>
    <row r="113">
      <c r="B113" s="86"/>
      <c r="C113" s="86"/>
      <c r="D113" s="86"/>
    </row>
    <row r="114">
      <c r="B114" s="86"/>
      <c r="C114" s="86"/>
      <c r="D114" s="86"/>
    </row>
    <row r="115">
      <c r="B115" s="86"/>
      <c r="C115" s="86"/>
      <c r="D115" s="86"/>
    </row>
    <row r="116">
      <c r="B116" s="86"/>
      <c r="C116" s="86"/>
      <c r="D116" s="86"/>
    </row>
    <row r="117">
      <c r="B117" s="86"/>
      <c r="C117" s="86"/>
      <c r="D117" s="86"/>
    </row>
    <row r="118">
      <c r="B118" s="86"/>
      <c r="C118" s="86"/>
      <c r="D118" s="86"/>
    </row>
    <row r="119">
      <c r="B119" s="86"/>
      <c r="C119" s="86"/>
      <c r="D119" s="86"/>
    </row>
    <row r="120">
      <c r="B120" s="86"/>
      <c r="C120" s="86"/>
      <c r="D120" s="86"/>
    </row>
    <row r="121">
      <c r="B121" s="86"/>
      <c r="C121" s="86"/>
      <c r="D121" s="86"/>
    </row>
    <row r="122">
      <c r="B122" s="86"/>
      <c r="C122" s="86"/>
      <c r="D122" s="86"/>
    </row>
    <row r="123">
      <c r="B123" s="86"/>
      <c r="C123" s="86"/>
      <c r="D123" s="86"/>
    </row>
    <row r="124">
      <c r="B124" s="86"/>
      <c r="C124" s="86"/>
      <c r="D124" s="86"/>
    </row>
    <row r="125">
      <c r="B125" s="86"/>
      <c r="C125" s="86"/>
      <c r="D125" s="86"/>
    </row>
    <row r="126">
      <c r="B126" s="86"/>
      <c r="C126" s="86"/>
      <c r="D126" s="86"/>
    </row>
    <row r="127">
      <c r="B127" s="86"/>
      <c r="C127" s="86"/>
      <c r="D127" s="86"/>
    </row>
    <row r="128">
      <c r="B128" s="86"/>
      <c r="C128" s="86"/>
      <c r="D128" s="86"/>
    </row>
    <row r="129">
      <c r="B129" s="86"/>
      <c r="C129" s="86"/>
      <c r="D129" s="86"/>
    </row>
    <row r="130">
      <c r="B130" s="86"/>
      <c r="C130" s="86"/>
      <c r="D130" s="86"/>
    </row>
    <row r="131">
      <c r="B131" s="86"/>
      <c r="C131" s="86"/>
      <c r="D131" s="86"/>
    </row>
    <row r="132">
      <c r="B132" s="86"/>
      <c r="C132" s="86"/>
      <c r="D132" s="86"/>
    </row>
    <row r="133">
      <c r="B133" s="86"/>
      <c r="C133" s="86"/>
      <c r="D133" s="86"/>
    </row>
    <row r="134">
      <c r="B134" s="86"/>
      <c r="C134" s="86"/>
      <c r="D134" s="86"/>
    </row>
    <row r="135">
      <c r="B135" s="86"/>
      <c r="C135" s="86"/>
      <c r="D135" s="86"/>
    </row>
    <row r="136">
      <c r="B136" s="86"/>
      <c r="C136" s="86"/>
      <c r="D136" s="86"/>
    </row>
    <row r="137">
      <c r="B137" s="86"/>
      <c r="C137" s="86"/>
      <c r="D137" s="86"/>
    </row>
    <row r="138">
      <c r="B138" s="86"/>
      <c r="C138" s="86"/>
      <c r="D138" s="86"/>
    </row>
    <row r="139">
      <c r="B139" s="86"/>
      <c r="C139" s="86"/>
      <c r="D139" s="86"/>
    </row>
    <row r="140">
      <c r="B140" s="86"/>
      <c r="C140" s="86"/>
      <c r="D140" s="86"/>
    </row>
    <row r="141">
      <c r="B141" s="86"/>
      <c r="C141" s="86"/>
      <c r="D141" s="86"/>
    </row>
    <row r="142">
      <c r="B142" s="86"/>
      <c r="C142" s="86"/>
      <c r="D142" s="86"/>
    </row>
    <row r="143">
      <c r="B143" s="86"/>
      <c r="C143" s="86"/>
      <c r="D143" s="86"/>
    </row>
    <row r="144">
      <c r="B144" s="86"/>
      <c r="C144" s="86"/>
      <c r="D144" s="86"/>
    </row>
    <row r="145">
      <c r="B145" s="86"/>
      <c r="C145" s="86"/>
      <c r="D145" s="86"/>
    </row>
    <row r="146">
      <c r="B146" s="86"/>
      <c r="C146" s="86"/>
      <c r="D146" s="86"/>
    </row>
    <row r="147">
      <c r="B147" s="86"/>
      <c r="C147" s="86"/>
      <c r="D147" s="86"/>
    </row>
    <row r="148">
      <c r="B148" s="86"/>
      <c r="C148" s="86"/>
      <c r="D148" s="86"/>
    </row>
    <row r="149">
      <c r="B149" s="86"/>
      <c r="C149" s="86"/>
      <c r="D149" s="86"/>
    </row>
    <row r="150">
      <c r="B150" s="86"/>
      <c r="C150" s="86"/>
      <c r="D150" s="86"/>
    </row>
    <row r="151">
      <c r="B151" s="86"/>
      <c r="C151" s="86"/>
      <c r="D151" s="86"/>
    </row>
    <row r="152">
      <c r="B152" s="86"/>
      <c r="C152" s="86"/>
      <c r="D152" s="86"/>
    </row>
    <row r="153">
      <c r="B153" s="86"/>
      <c r="C153" s="86"/>
      <c r="D153" s="86"/>
    </row>
    <row r="154">
      <c r="B154" s="86"/>
      <c r="C154" s="86"/>
      <c r="D154" s="86"/>
    </row>
    <row r="155">
      <c r="B155" s="86"/>
      <c r="C155" s="86"/>
      <c r="D155" s="86"/>
    </row>
    <row r="156">
      <c r="B156" s="86"/>
      <c r="C156" s="86"/>
      <c r="D156" s="86"/>
    </row>
    <row r="157">
      <c r="B157" s="86"/>
      <c r="C157" s="86"/>
      <c r="D157" s="86"/>
    </row>
    <row r="158">
      <c r="B158" s="86"/>
      <c r="C158" s="86"/>
      <c r="D158" s="86"/>
    </row>
    <row r="159">
      <c r="B159" s="86"/>
      <c r="C159" s="86"/>
      <c r="D159" s="86"/>
    </row>
    <row r="160">
      <c r="B160" s="86"/>
      <c r="C160" s="86"/>
      <c r="D160" s="86"/>
    </row>
    <row r="161">
      <c r="B161" s="86"/>
      <c r="C161" s="86"/>
      <c r="D161" s="86"/>
    </row>
    <row r="162">
      <c r="B162" s="86"/>
      <c r="C162" s="86"/>
      <c r="D162" s="86"/>
    </row>
    <row r="163">
      <c r="B163" s="86"/>
      <c r="C163" s="86"/>
      <c r="D163" s="86"/>
    </row>
    <row r="164">
      <c r="B164" s="86"/>
      <c r="C164" s="86"/>
      <c r="D164" s="86"/>
    </row>
    <row r="165">
      <c r="B165" s="86"/>
      <c r="C165" s="86"/>
      <c r="D165" s="86"/>
    </row>
    <row r="166">
      <c r="B166" s="86"/>
      <c r="C166" s="86"/>
      <c r="D166" s="86"/>
    </row>
    <row r="167">
      <c r="B167" s="86"/>
      <c r="C167" s="86"/>
      <c r="D167" s="86"/>
    </row>
    <row r="168">
      <c r="B168" s="86"/>
      <c r="C168" s="86"/>
      <c r="D168" s="86"/>
    </row>
    <row r="169">
      <c r="B169" s="86"/>
      <c r="C169" s="86"/>
      <c r="D169" s="86"/>
    </row>
    <row r="170">
      <c r="B170" s="86"/>
      <c r="C170" s="86"/>
      <c r="D170" s="86"/>
    </row>
    <row r="171">
      <c r="B171" s="86"/>
      <c r="C171" s="86"/>
      <c r="D171" s="86"/>
    </row>
    <row r="172">
      <c r="B172" s="86"/>
      <c r="C172" s="86"/>
      <c r="D172" s="86"/>
    </row>
    <row r="173">
      <c r="B173" s="86"/>
      <c r="C173" s="86"/>
      <c r="D173" s="86"/>
    </row>
    <row r="174">
      <c r="B174" s="86"/>
      <c r="C174" s="86"/>
      <c r="D174" s="86"/>
    </row>
    <row r="175">
      <c r="B175" s="86"/>
      <c r="C175" s="86"/>
      <c r="D175" s="86"/>
    </row>
    <row r="176">
      <c r="B176" s="86"/>
      <c r="C176" s="86"/>
      <c r="D176" s="86"/>
    </row>
    <row r="177">
      <c r="B177" s="86"/>
      <c r="C177" s="86"/>
      <c r="D177" s="86"/>
    </row>
    <row r="178">
      <c r="B178" s="86"/>
      <c r="C178" s="86"/>
      <c r="D178" s="86"/>
    </row>
    <row r="179">
      <c r="B179" s="86"/>
      <c r="C179" s="86"/>
      <c r="D179" s="86"/>
    </row>
    <row r="180">
      <c r="B180" s="86"/>
      <c r="C180" s="86"/>
      <c r="D180" s="86"/>
    </row>
    <row r="181">
      <c r="B181" s="86"/>
      <c r="C181" s="86"/>
      <c r="D181" s="86"/>
    </row>
    <row r="182">
      <c r="B182" s="86"/>
      <c r="C182" s="86"/>
      <c r="D182" s="86"/>
    </row>
    <row r="183">
      <c r="B183" s="86"/>
      <c r="C183" s="86"/>
      <c r="D183" s="86"/>
    </row>
    <row r="184">
      <c r="B184" s="86"/>
      <c r="C184" s="86"/>
      <c r="D184" s="86"/>
    </row>
    <row r="185">
      <c r="B185" s="86"/>
      <c r="C185" s="86"/>
      <c r="D185" s="86"/>
    </row>
    <row r="186">
      <c r="B186" s="86"/>
      <c r="C186" s="86"/>
      <c r="D186" s="86"/>
    </row>
    <row r="187">
      <c r="B187" s="86"/>
      <c r="C187" s="86"/>
      <c r="D187" s="86"/>
    </row>
    <row r="188">
      <c r="B188" s="86"/>
      <c r="C188" s="86"/>
      <c r="D188" s="86"/>
    </row>
    <row r="189">
      <c r="B189" s="86"/>
      <c r="C189" s="86"/>
      <c r="D189" s="86"/>
    </row>
    <row r="190">
      <c r="B190" s="86"/>
      <c r="C190" s="86"/>
      <c r="D190" s="86"/>
    </row>
    <row r="191">
      <c r="B191" s="86"/>
      <c r="C191" s="86"/>
      <c r="D191" s="86"/>
    </row>
    <row r="192">
      <c r="B192" s="86"/>
      <c r="C192" s="86"/>
      <c r="D192" s="86"/>
    </row>
    <row r="193">
      <c r="B193" s="86"/>
      <c r="C193" s="86"/>
      <c r="D193" s="86"/>
    </row>
    <row r="194">
      <c r="B194" s="86"/>
      <c r="C194" s="86"/>
      <c r="D194" s="86"/>
    </row>
    <row r="195">
      <c r="B195" s="86"/>
      <c r="C195" s="86"/>
      <c r="D195" s="86"/>
    </row>
    <row r="196">
      <c r="B196" s="86"/>
      <c r="C196" s="86"/>
      <c r="D196" s="86"/>
    </row>
    <row r="197">
      <c r="B197" s="86"/>
      <c r="C197" s="86"/>
      <c r="D197" s="86"/>
    </row>
    <row r="198">
      <c r="B198" s="86"/>
      <c r="C198" s="86"/>
      <c r="D198" s="86"/>
    </row>
    <row r="199">
      <c r="B199" s="86"/>
      <c r="C199" s="86"/>
      <c r="D199" s="86"/>
    </row>
    <row r="200">
      <c r="B200" s="86"/>
      <c r="C200" s="86"/>
      <c r="D200" s="86"/>
    </row>
    <row r="201">
      <c r="B201" s="86"/>
      <c r="C201" s="86"/>
      <c r="D201" s="86"/>
    </row>
    <row r="202">
      <c r="B202" s="86"/>
      <c r="C202" s="86"/>
      <c r="D202" s="86"/>
    </row>
    <row r="203">
      <c r="B203" s="86"/>
      <c r="C203" s="86"/>
      <c r="D203" s="86"/>
    </row>
    <row r="204">
      <c r="B204" s="86"/>
      <c r="C204" s="86"/>
      <c r="D204" s="86"/>
    </row>
    <row r="205">
      <c r="B205" s="86"/>
      <c r="C205" s="86"/>
      <c r="D205" s="86"/>
    </row>
    <row r="206">
      <c r="B206" s="86"/>
      <c r="C206" s="86"/>
      <c r="D206" s="86"/>
    </row>
    <row r="207">
      <c r="B207" s="86"/>
      <c r="C207" s="86"/>
      <c r="D207" s="86"/>
    </row>
    <row r="208">
      <c r="B208" s="86"/>
      <c r="C208" s="86"/>
      <c r="D208" s="86"/>
    </row>
    <row r="209">
      <c r="B209" s="86"/>
      <c r="C209" s="86"/>
      <c r="D209" s="86"/>
    </row>
    <row r="210">
      <c r="B210" s="86"/>
      <c r="C210" s="86"/>
      <c r="D210" s="86"/>
    </row>
    <row r="211">
      <c r="B211" s="86"/>
      <c r="C211" s="86"/>
      <c r="D211" s="86"/>
    </row>
    <row r="212">
      <c r="B212" s="86"/>
      <c r="C212" s="86"/>
      <c r="D212" s="86"/>
    </row>
    <row r="213">
      <c r="B213" s="86"/>
      <c r="C213" s="86"/>
      <c r="D213" s="86"/>
    </row>
    <row r="214">
      <c r="B214" s="86"/>
      <c r="C214" s="86"/>
      <c r="D214" s="86"/>
    </row>
    <row r="215">
      <c r="B215" s="86"/>
      <c r="C215" s="86"/>
      <c r="D215" s="86"/>
    </row>
    <row r="216">
      <c r="B216" s="86"/>
      <c r="C216" s="86"/>
      <c r="D216" s="86"/>
    </row>
    <row r="217">
      <c r="B217" s="86"/>
      <c r="C217" s="86"/>
      <c r="D217" s="86"/>
    </row>
    <row r="218">
      <c r="B218" s="86"/>
      <c r="C218" s="86"/>
      <c r="D218" s="86"/>
    </row>
    <row r="219">
      <c r="B219" s="86"/>
      <c r="C219" s="86"/>
      <c r="D219" s="86"/>
    </row>
    <row r="220">
      <c r="B220" s="86"/>
      <c r="C220" s="86"/>
      <c r="D220" s="86"/>
    </row>
    <row r="221">
      <c r="B221" s="86"/>
      <c r="C221" s="86"/>
      <c r="D221" s="86"/>
    </row>
    <row r="222">
      <c r="B222" s="86"/>
      <c r="C222" s="86"/>
      <c r="D222" s="86"/>
    </row>
    <row r="223">
      <c r="B223" s="86"/>
      <c r="C223" s="86"/>
      <c r="D223" s="86"/>
    </row>
    <row r="224">
      <c r="B224" s="86"/>
      <c r="C224" s="86"/>
      <c r="D224" s="86"/>
    </row>
    <row r="225">
      <c r="B225" s="86"/>
      <c r="C225" s="86"/>
      <c r="D225" s="86"/>
    </row>
    <row r="226">
      <c r="B226" s="86"/>
      <c r="C226" s="86"/>
      <c r="D226" s="86"/>
    </row>
    <row r="227">
      <c r="B227" s="86"/>
      <c r="C227" s="86"/>
      <c r="D227" s="86"/>
    </row>
    <row r="228">
      <c r="B228" s="86"/>
      <c r="C228" s="86"/>
      <c r="D228" s="86"/>
    </row>
    <row r="229">
      <c r="B229" s="86"/>
      <c r="C229" s="86"/>
      <c r="D229" s="86"/>
    </row>
    <row r="230">
      <c r="B230" s="86"/>
      <c r="C230" s="86"/>
      <c r="D230" s="86"/>
    </row>
    <row r="231">
      <c r="B231" s="86"/>
      <c r="C231" s="86"/>
      <c r="D231" s="86"/>
    </row>
    <row r="232">
      <c r="B232" s="86"/>
      <c r="C232" s="86"/>
      <c r="D232" s="86"/>
    </row>
    <row r="233">
      <c r="B233" s="86"/>
      <c r="C233" s="86"/>
      <c r="D233" s="86"/>
    </row>
    <row r="234">
      <c r="B234" s="86"/>
      <c r="C234" s="86"/>
      <c r="D234" s="86"/>
    </row>
    <row r="235">
      <c r="B235" s="86"/>
      <c r="C235" s="86"/>
      <c r="D235" s="86"/>
    </row>
    <row r="236">
      <c r="B236" s="86"/>
      <c r="C236" s="86"/>
      <c r="D236" s="86"/>
    </row>
    <row r="237">
      <c r="B237" s="86"/>
      <c r="C237" s="86"/>
      <c r="D237" s="86"/>
    </row>
    <row r="238">
      <c r="B238" s="86"/>
      <c r="C238" s="86"/>
      <c r="D238" s="86"/>
    </row>
    <row r="239">
      <c r="B239" s="86"/>
      <c r="C239" s="86"/>
      <c r="D239" s="86"/>
    </row>
    <row r="240">
      <c r="B240" s="86"/>
      <c r="C240" s="86"/>
      <c r="D240" s="86"/>
    </row>
    <row r="241">
      <c r="B241" s="86"/>
      <c r="C241" s="86"/>
      <c r="D241" s="86"/>
    </row>
    <row r="242">
      <c r="B242" s="86"/>
      <c r="C242" s="86"/>
      <c r="D242" s="86"/>
    </row>
    <row r="243">
      <c r="B243" s="86"/>
      <c r="C243" s="86"/>
      <c r="D243" s="86"/>
    </row>
    <row r="244">
      <c r="B244" s="86"/>
      <c r="C244" s="86"/>
      <c r="D244" s="86"/>
    </row>
    <row r="245">
      <c r="B245" s="86"/>
      <c r="C245" s="86"/>
      <c r="D245" s="86"/>
    </row>
    <row r="246">
      <c r="B246" s="86"/>
      <c r="C246" s="86"/>
      <c r="D246" s="86"/>
    </row>
    <row r="247">
      <c r="B247" s="86"/>
      <c r="C247" s="86"/>
      <c r="D247" s="86"/>
    </row>
    <row r="248">
      <c r="B248" s="86"/>
      <c r="C248" s="86"/>
      <c r="D248" s="86"/>
    </row>
    <row r="249">
      <c r="B249" s="86"/>
      <c r="C249" s="86"/>
      <c r="D249" s="86"/>
    </row>
    <row r="250">
      <c r="B250" s="86"/>
      <c r="C250" s="86"/>
      <c r="D250" s="86"/>
    </row>
    <row r="251">
      <c r="B251" s="86"/>
      <c r="C251" s="86"/>
      <c r="D251" s="86"/>
    </row>
    <row r="252">
      <c r="B252" s="86"/>
      <c r="C252" s="86"/>
      <c r="D252" s="86"/>
    </row>
    <row r="253">
      <c r="B253" s="86"/>
      <c r="C253" s="86"/>
      <c r="D253" s="86"/>
    </row>
    <row r="254">
      <c r="B254" s="86"/>
      <c r="C254" s="86"/>
      <c r="D254" s="86"/>
    </row>
    <row r="255">
      <c r="B255" s="86"/>
      <c r="C255" s="86"/>
      <c r="D255" s="86"/>
    </row>
    <row r="256">
      <c r="B256" s="86"/>
      <c r="C256" s="86"/>
      <c r="D256" s="86"/>
    </row>
    <row r="257">
      <c r="B257" s="86"/>
      <c r="C257" s="86"/>
      <c r="D257" s="86"/>
    </row>
    <row r="258">
      <c r="B258" s="86"/>
      <c r="C258" s="86"/>
      <c r="D258" s="86"/>
    </row>
    <row r="259">
      <c r="B259" s="86"/>
      <c r="C259" s="86"/>
      <c r="D259" s="86"/>
    </row>
    <row r="260">
      <c r="B260" s="86"/>
      <c r="C260" s="86"/>
      <c r="D260" s="86"/>
    </row>
    <row r="261">
      <c r="B261" s="86"/>
      <c r="C261" s="86"/>
      <c r="D261" s="86"/>
    </row>
    <row r="262">
      <c r="B262" s="86"/>
      <c r="C262" s="86"/>
      <c r="D262" s="86"/>
    </row>
    <row r="263">
      <c r="B263" s="86"/>
      <c r="C263" s="86"/>
      <c r="D263" s="86"/>
    </row>
    <row r="264">
      <c r="B264" s="86"/>
      <c r="C264" s="86"/>
      <c r="D264" s="86"/>
    </row>
    <row r="265">
      <c r="B265" s="86"/>
      <c r="C265" s="86"/>
      <c r="D265" s="86"/>
    </row>
    <row r="266">
      <c r="B266" s="86"/>
      <c r="C266" s="86"/>
      <c r="D266" s="86"/>
    </row>
    <row r="267">
      <c r="B267" s="86"/>
      <c r="C267" s="86"/>
      <c r="D267" s="86"/>
    </row>
    <row r="268">
      <c r="B268" s="86"/>
      <c r="C268" s="86"/>
      <c r="D268" s="86"/>
    </row>
    <row r="269">
      <c r="B269" s="86"/>
      <c r="C269" s="86"/>
      <c r="D269" s="86"/>
    </row>
    <row r="270">
      <c r="B270" s="86"/>
      <c r="C270" s="86"/>
      <c r="D270" s="86"/>
    </row>
    <row r="271">
      <c r="B271" s="86"/>
      <c r="C271" s="86"/>
      <c r="D271" s="86"/>
    </row>
    <row r="272">
      <c r="B272" s="86"/>
      <c r="C272" s="86"/>
      <c r="D272" s="86"/>
    </row>
    <row r="273">
      <c r="B273" s="86"/>
      <c r="C273" s="86"/>
      <c r="D273" s="86"/>
    </row>
    <row r="274">
      <c r="B274" s="86"/>
      <c r="C274" s="86"/>
      <c r="D274" s="86"/>
    </row>
    <row r="275">
      <c r="B275" s="86"/>
      <c r="C275" s="86"/>
      <c r="D275" s="86"/>
    </row>
    <row r="276">
      <c r="B276" s="86"/>
      <c r="C276" s="86"/>
      <c r="D276" s="86"/>
    </row>
    <row r="277">
      <c r="B277" s="86"/>
      <c r="C277" s="86"/>
      <c r="D277" s="86"/>
    </row>
    <row r="278">
      <c r="B278" s="86"/>
      <c r="C278" s="86"/>
      <c r="D278" s="86"/>
    </row>
    <row r="279">
      <c r="B279" s="86"/>
      <c r="C279" s="86"/>
      <c r="D279" s="86"/>
    </row>
    <row r="280">
      <c r="B280" s="86"/>
      <c r="C280" s="86"/>
      <c r="D280" s="86"/>
    </row>
    <row r="281">
      <c r="B281" s="86"/>
      <c r="C281" s="86"/>
      <c r="D281" s="86"/>
    </row>
    <row r="282">
      <c r="B282" s="86"/>
      <c r="C282" s="86"/>
      <c r="D282" s="86"/>
    </row>
    <row r="283">
      <c r="B283" s="86"/>
      <c r="C283" s="86"/>
      <c r="D283" s="86"/>
    </row>
    <row r="284">
      <c r="B284" s="86"/>
      <c r="C284" s="86"/>
      <c r="D284" s="86"/>
    </row>
    <row r="285">
      <c r="B285" s="86"/>
      <c r="C285" s="86"/>
      <c r="D285" s="86"/>
    </row>
    <row r="286">
      <c r="B286" s="86"/>
      <c r="C286" s="86"/>
      <c r="D286" s="86"/>
    </row>
    <row r="287">
      <c r="B287" s="86"/>
      <c r="C287" s="86"/>
      <c r="D287" s="86"/>
    </row>
    <row r="288">
      <c r="B288" s="86"/>
      <c r="C288" s="86"/>
      <c r="D288" s="86"/>
    </row>
    <row r="289">
      <c r="B289" s="86"/>
      <c r="C289" s="86"/>
      <c r="D289" s="86"/>
    </row>
    <row r="290">
      <c r="B290" s="86"/>
      <c r="C290" s="86"/>
      <c r="D290" s="86"/>
    </row>
    <row r="291">
      <c r="B291" s="86"/>
      <c r="C291" s="86"/>
      <c r="D291" s="86"/>
    </row>
    <row r="292">
      <c r="B292" s="86"/>
      <c r="C292" s="86"/>
      <c r="D292" s="86"/>
    </row>
    <row r="293">
      <c r="B293" s="86"/>
      <c r="C293" s="86"/>
      <c r="D293" s="86"/>
    </row>
    <row r="294">
      <c r="B294" s="86"/>
      <c r="C294" s="86"/>
      <c r="D294" s="86"/>
    </row>
    <row r="295">
      <c r="B295" s="86"/>
      <c r="C295" s="86"/>
      <c r="D295" s="86"/>
    </row>
    <row r="296">
      <c r="B296" s="86"/>
      <c r="C296" s="86"/>
      <c r="D296" s="86"/>
    </row>
    <row r="297">
      <c r="B297" s="86"/>
      <c r="C297" s="86"/>
      <c r="D297" s="86"/>
    </row>
    <row r="298">
      <c r="B298" s="86"/>
      <c r="C298" s="86"/>
      <c r="D298" s="86"/>
    </row>
    <row r="299">
      <c r="B299" s="86"/>
      <c r="C299" s="86"/>
      <c r="D299" s="86"/>
    </row>
    <row r="300">
      <c r="B300" s="86"/>
      <c r="C300" s="86"/>
      <c r="D300" s="86"/>
    </row>
    <row r="301">
      <c r="B301" s="86"/>
      <c r="C301" s="86"/>
      <c r="D301" s="86"/>
    </row>
    <row r="302">
      <c r="B302" s="86"/>
      <c r="C302" s="86"/>
      <c r="D302" s="86"/>
    </row>
    <row r="303">
      <c r="B303" s="86"/>
      <c r="C303" s="86"/>
      <c r="D303" s="86"/>
    </row>
    <row r="304">
      <c r="B304" s="86"/>
      <c r="C304" s="86"/>
      <c r="D304" s="86"/>
    </row>
    <row r="305">
      <c r="B305" s="86"/>
      <c r="C305" s="86"/>
      <c r="D305" s="86"/>
    </row>
    <row r="306">
      <c r="B306" s="86"/>
      <c r="C306" s="86"/>
      <c r="D306" s="86"/>
    </row>
    <row r="307">
      <c r="B307" s="86"/>
      <c r="C307" s="86"/>
      <c r="D307" s="86"/>
    </row>
    <row r="308">
      <c r="B308" s="86"/>
      <c r="C308" s="86"/>
      <c r="D308" s="86"/>
    </row>
    <row r="309">
      <c r="B309" s="86"/>
      <c r="C309" s="86"/>
      <c r="D309" s="86"/>
    </row>
    <row r="310">
      <c r="B310" s="86"/>
      <c r="C310" s="86"/>
      <c r="D310" s="86"/>
    </row>
    <row r="311">
      <c r="B311" s="86"/>
      <c r="C311" s="86"/>
      <c r="D311" s="86"/>
    </row>
    <row r="312">
      <c r="B312" s="86"/>
      <c r="C312" s="86"/>
      <c r="D312" s="86"/>
    </row>
    <row r="313">
      <c r="B313" s="86"/>
      <c r="C313" s="86"/>
      <c r="D313" s="86"/>
    </row>
    <row r="314">
      <c r="B314" s="86"/>
      <c r="C314" s="86"/>
      <c r="D314" s="86"/>
    </row>
    <row r="315">
      <c r="B315" s="86"/>
      <c r="C315" s="86"/>
      <c r="D315" s="86"/>
    </row>
    <row r="316">
      <c r="B316" s="86"/>
      <c r="C316" s="86"/>
      <c r="D316" s="86"/>
    </row>
    <row r="317">
      <c r="B317" s="86"/>
      <c r="C317" s="86"/>
      <c r="D317" s="86"/>
    </row>
    <row r="318">
      <c r="B318" s="86"/>
      <c r="C318" s="86"/>
      <c r="D318" s="86"/>
    </row>
    <row r="319">
      <c r="B319" s="86"/>
      <c r="C319" s="86"/>
      <c r="D319" s="86"/>
    </row>
    <row r="320">
      <c r="B320" s="86"/>
      <c r="C320" s="86"/>
      <c r="D320" s="86"/>
    </row>
    <row r="321">
      <c r="B321" s="86"/>
      <c r="C321" s="86"/>
      <c r="D321" s="86"/>
    </row>
    <row r="322">
      <c r="B322" s="86"/>
      <c r="C322" s="86"/>
      <c r="D322" s="86"/>
    </row>
    <row r="323">
      <c r="B323" s="86"/>
      <c r="C323" s="86"/>
      <c r="D323" s="86"/>
    </row>
    <row r="324">
      <c r="B324" s="86"/>
      <c r="C324" s="86"/>
      <c r="D324" s="86"/>
    </row>
    <row r="325">
      <c r="B325" s="86"/>
      <c r="C325" s="86"/>
      <c r="D325" s="86"/>
    </row>
    <row r="326">
      <c r="B326" s="86"/>
      <c r="C326" s="86"/>
      <c r="D326" s="86"/>
    </row>
    <row r="327">
      <c r="B327" s="86"/>
      <c r="C327" s="86"/>
      <c r="D327" s="86"/>
    </row>
    <row r="328">
      <c r="B328" s="86"/>
      <c r="C328" s="86"/>
      <c r="D328" s="86"/>
    </row>
    <row r="329">
      <c r="B329" s="86"/>
      <c r="C329" s="86"/>
      <c r="D329" s="86"/>
    </row>
    <row r="330">
      <c r="B330" s="86"/>
      <c r="C330" s="86"/>
      <c r="D330" s="86"/>
    </row>
    <row r="331">
      <c r="B331" s="86"/>
      <c r="C331" s="86"/>
      <c r="D331" s="86"/>
    </row>
    <row r="332">
      <c r="B332" s="86"/>
      <c r="C332" s="86"/>
      <c r="D332" s="86"/>
    </row>
    <row r="333">
      <c r="B333" s="86"/>
      <c r="C333" s="86"/>
      <c r="D333" s="86"/>
    </row>
    <row r="334">
      <c r="B334" s="86"/>
      <c r="C334" s="86"/>
      <c r="D334" s="86"/>
    </row>
    <row r="335">
      <c r="B335" s="86"/>
      <c r="C335" s="86"/>
      <c r="D335" s="86"/>
    </row>
    <row r="336">
      <c r="B336" s="86"/>
      <c r="C336" s="86"/>
      <c r="D336" s="86"/>
    </row>
    <row r="337">
      <c r="B337" s="86"/>
      <c r="C337" s="86"/>
      <c r="D337" s="86"/>
    </row>
    <row r="338">
      <c r="B338" s="86"/>
      <c r="C338" s="86"/>
      <c r="D338" s="86"/>
    </row>
    <row r="339">
      <c r="B339" s="86"/>
      <c r="C339" s="86"/>
      <c r="D339" s="86"/>
    </row>
    <row r="340">
      <c r="B340" s="86"/>
      <c r="C340" s="86"/>
      <c r="D340" s="86"/>
    </row>
    <row r="341">
      <c r="B341" s="86"/>
      <c r="C341" s="86"/>
      <c r="D341" s="86"/>
    </row>
    <row r="342">
      <c r="B342" s="86"/>
      <c r="C342" s="86"/>
      <c r="D342" s="86"/>
    </row>
    <row r="343">
      <c r="B343" s="86"/>
      <c r="C343" s="86"/>
      <c r="D343" s="86"/>
    </row>
    <row r="344">
      <c r="B344" s="86"/>
      <c r="C344" s="86"/>
      <c r="D344" s="86"/>
    </row>
    <row r="345">
      <c r="B345" s="86"/>
      <c r="C345" s="86"/>
      <c r="D345" s="86"/>
    </row>
    <row r="346">
      <c r="B346" s="86"/>
      <c r="C346" s="86"/>
      <c r="D346" s="86"/>
    </row>
    <row r="347">
      <c r="B347" s="86"/>
      <c r="C347" s="86"/>
      <c r="D347" s="86"/>
    </row>
    <row r="348">
      <c r="B348" s="86"/>
      <c r="C348" s="86"/>
      <c r="D348" s="86"/>
    </row>
    <row r="349">
      <c r="B349" s="86"/>
      <c r="C349" s="86"/>
      <c r="D349" s="86"/>
    </row>
    <row r="350">
      <c r="B350" s="86"/>
      <c r="C350" s="86"/>
      <c r="D350" s="86"/>
    </row>
    <row r="351">
      <c r="B351" s="86"/>
      <c r="C351" s="86"/>
      <c r="D351" s="86"/>
    </row>
    <row r="352">
      <c r="B352" s="86"/>
      <c r="C352" s="86"/>
      <c r="D352" s="86"/>
    </row>
    <row r="353">
      <c r="B353" s="86"/>
      <c r="C353" s="86"/>
      <c r="D353" s="86"/>
    </row>
    <row r="354">
      <c r="B354" s="86"/>
      <c r="C354" s="86"/>
      <c r="D354" s="86"/>
    </row>
    <row r="355">
      <c r="B355" s="86"/>
      <c r="C355" s="86"/>
      <c r="D355" s="86"/>
    </row>
    <row r="356">
      <c r="B356" s="86"/>
      <c r="C356" s="86"/>
      <c r="D356" s="86"/>
    </row>
    <row r="357">
      <c r="B357" s="86"/>
      <c r="C357" s="86"/>
      <c r="D357" s="86"/>
    </row>
    <row r="358">
      <c r="B358" s="86"/>
      <c r="C358" s="86"/>
      <c r="D358" s="86"/>
    </row>
    <row r="359">
      <c r="B359" s="86"/>
      <c r="C359" s="86"/>
      <c r="D359" s="86"/>
    </row>
    <row r="360">
      <c r="B360" s="86"/>
      <c r="C360" s="86"/>
      <c r="D360" s="86"/>
    </row>
    <row r="361">
      <c r="B361" s="86"/>
      <c r="C361" s="86"/>
      <c r="D361" s="86"/>
    </row>
    <row r="362">
      <c r="B362" s="86"/>
      <c r="C362" s="86"/>
      <c r="D362" s="86"/>
    </row>
    <row r="363">
      <c r="B363" s="86"/>
      <c r="C363" s="86"/>
      <c r="D363" s="86"/>
    </row>
    <row r="364">
      <c r="B364" s="86"/>
      <c r="C364" s="86"/>
      <c r="D364" s="86"/>
    </row>
    <row r="365">
      <c r="B365" s="86"/>
      <c r="C365" s="86"/>
      <c r="D365" s="86"/>
    </row>
    <row r="366">
      <c r="B366" s="86"/>
      <c r="C366" s="86"/>
      <c r="D366" s="86"/>
    </row>
    <row r="367">
      <c r="B367" s="86"/>
      <c r="C367" s="86"/>
      <c r="D367" s="86"/>
    </row>
    <row r="368">
      <c r="B368" s="86"/>
      <c r="C368" s="86"/>
      <c r="D368" s="86"/>
    </row>
    <row r="369">
      <c r="B369" s="86"/>
      <c r="C369" s="86"/>
      <c r="D369" s="86"/>
    </row>
    <row r="370">
      <c r="B370" s="86"/>
      <c r="C370" s="86"/>
      <c r="D370" s="86"/>
    </row>
    <row r="371">
      <c r="B371" s="86"/>
      <c r="C371" s="86"/>
      <c r="D371" s="86"/>
    </row>
    <row r="372">
      <c r="B372" s="86"/>
      <c r="C372" s="86"/>
      <c r="D372" s="86"/>
    </row>
    <row r="373">
      <c r="B373" s="86"/>
      <c r="C373" s="86"/>
      <c r="D373" s="86"/>
    </row>
    <row r="374">
      <c r="B374" s="86"/>
      <c r="C374" s="86"/>
      <c r="D374" s="86"/>
    </row>
    <row r="375">
      <c r="B375" s="86"/>
      <c r="C375" s="86"/>
      <c r="D375" s="86"/>
    </row>
    <row r="376">
      <c r="B376" s="86"/>
      <c r="C376" s="86"/>
      <c r="D376" s="86"/>
    </row>
    <row r="377">
      <c r="B377" s="86"/>
      <c r="C377" s="86"/>
      <c r="D377" s="86"/>
    </row>
    <row r="378">
      <c r="B378" s="86"/>
      <c r="C378" s="86"/>
      <c r="D378" s="86"/>
    </row>
    <row r="379">
      <c r="B379" s="86"/>
      <c r="C379" s="86"/>
      <c r="D379" s="86"/>
    </row>
    <row r="380">
      <c r="B380" s="86"/>
      <c r="C380" s="86"/>
      <c r="D380" s="86"/>
    </row>
    <row r="381">
      <c r="B381" s="86"/>
      <c r="C381" s="86"/>
      <c r="D381" s="86"/>
    </row>
    <row r="382">
      <c r="B382" s="86"/>
      <c r="C382" s="86"/>
      <c r="D382" s="86"/>
    </row>
    <row r="383">
      <c r="B383" s="86"/>
      <c r="C383" s="86"/>
      <c r="D383" s="86"/>
    </row>
    <row r="384">
      <c r="B384" s="86"/>
      <c r="C384" s="86"/>
      <c r="D384" s="86"/>
    </row>
    <row r="385">
      <c r="B385" s="86"/>
      <c r="C385" s="86"/>
      <c r="D385" s="86"/>
    </row>
    <row r="386">
      <c r="B386" s="86"/>
      <c r="C386" s="86"/>
      <c r="D386" s="86"/>
    </row>
    <row r="387">
      <c r="B387" s="86"/>
      <c r="C387" s="86"/>
      <c r="D387" s="86"/>
    </row>
    <row r="388">
      <c r="B388" s="86"/>
      <c r="C388" s="86"/>
      <c r="D388" s="86"/>
    </row>
    <row r="389">
      <c r="B389" s="86"/>
      <c r="C389" s="86"/>
      <c r="D389" s="86"/>
    </row>
    <row r="390">
      <c r="B390" s="86"/>
      <c r="C390" s="86"/>
      <c r="D390" s="86"/>
    </row>
    <row r="391">
      <c r="B391" s="86"/>
      <c r="C391" s="86"/>
      <c r="D391" s="86"/>
    </row>
    <row r="392">
      <c r="B392" s="86"/>
      <c r="C392" s="86"/>
      <c r="D392" s="86"/>
    </row>
    <row r="393">
      <c r="B393" s="86"/>
      <c r="C393" s="86"/>
      <c r="D393" s="86"/>
    </row>
    <row r="394">
      <c r="B394" s="86"/>
      <c r="C394" s="86"/>
      <c r="D394" s="86"/>
    </row>
    <row r="395">
      <c r="B395" s="86"/>
      <c r="C395" s="86"/>
      <c r="D395" s="86"/>
    </row>
    <row r="396">
      <c r="B396" s="86"/>
      <c r="C396" s="86"/>
      <c r="D396" s="86"/>
    </row>
    <row r="397">
      <c r="B397" s="86"/>
      <c r="C397" s="86"/>
      <c r="D397" s="86"/>
    </row>
    <row r="398">
      <c r="B398" s="86"/>
      <c r="C398" s="86"/>
      <c r="D398" s="86"/>
    </row>
    <row r="399">
      <c r="B399" s="86"/>
      <c r="C399" s="86"/>
      <c r="D399" s="86"/>
    </row>
    <row r="400">
      <c r="B400" s="86"/>
      <c r="C400" s="86"/>
      <c r="D400" s="86"/>
    </row>
    <row r="401">
      <c r="B401" s="86"/>
      <c r="C401" s="86"/>
      <c r="D401" s="86"/>
    </row>
    <row r="402">
      <c r="B402" s="86"/>
      <c r="C402" s="86"/>
      <c r="D402" s="86"/>
    </row>
    <row r="403">
      <c r="B403" s="86"/>
      <c r="C403" s="86"/>
      <c r="D403" s="86"/>
    </row>
    <row r="404">
      <c r="B404" s="86"/>
      <c r="C404" s="86"/>
      <c r="D404" s="86"/>
    </row>
    <row r="405">
      <c r="B405" s="86"/>
      <c r="C405" s="86"/>
      <c r="D405" s="86"/>
    </row>
    <row r="406">
      <c r="B406" s="86"/>
      <c r="C406" s="86"/>
      <c r="D406" s="86"/>
    </row>
    <row r="407">
      <c r="B407" s="86"/>
      <c r="C407" s="86"/>
      <c r="D407" s="86"/>
    </row>
    <row r="408">
      <c r="B408" s="86"/>
      <c r="C408" s="86"/>
      <c r="D408" s="86"/>
    </row>
    <row r="409">
      <c r="B409" s="86"/>
      <c r="C409" s="86"/>
      <c r="D409" s="86"/>
    </row>
    <row r="410">
      <c r="B410" s="86"/>
      <c r="C410" s="86"/>
      <c r="D410" s="86"/>
    </row>
    <row r="411">
      <c r="B411" s="86"/>
      <c r="C411" s="86"/>
      <c r="D411" s="86"/>
    </row>
    <row r="412">
      <c r="B412" s="86"/>
      <c r="C412" s="86"/>
      <c r="D412" s="86"/>
    </row>
    <row r="413">
      <c r="B413" s="86"/>
      <c r="C413" s="86"/>
      <c r="D413" s="86"/>
    </row>
    <row r="414">
      <c r="B414" s="86"/>
      <c r="C414" s="86"/>
      <c r="D414" s="86"/>
    </row>
    <row r="415">
      <c r="B415" s="86"/>
      <c r="C415" s="86"/>
      <c r="D415" s="86"/>
    </row>
    <row r="416">
      <c r="B416" s="86"/>
      <c r="C416" s="86"/>
      <c r="D416" s="86"/>
    </row>
    <row r="417">
      <c r="B417" s="86"/>
      <c r="C417" s="86"/>
      <c r="D417" s="86"/>
    </row>
    <row r="418">
      <c r="B418" s="86"/>
      <c r="C418" s="86"/>
      <c r="D418" s="86"/>
    </row>
    <row r="419">
      <c r="B419" s="86"/>
      <c r="C419" s="86"/>
      <c r="D419" s="86"/>
    </row>
    <row r="420">
      <c r="B420" s="86"/>
      <c r="C420" s="86"/>
      <c r="D420" s="86"/>
    </row>
    <row r="421">
      <c r="B421" s="86"/>
      <c r="C421" s="86"/>
      <c r="D421" s="86"/>
    </row>
    <row r="422">
      <c r="B422" s="86"/>
      <c r="C422" s="86"/>
      <c r="D422" s="86"/>
    </row>
    <row r="423">
      <c r="B423" s="86"/>
      <c r="C423" s="86"/>
      <c r="D423" s="86"/>
    </row>
    <row r="424">
      <c r="B424" s="86"/>
      <c r="C424" s="86"/>
      <c r="D424" s="86"/>
    </row>
    <row r="425">
      <c r="B425" s="86"/>
      <c r="C425" s="86"/>
      <c r="D425" s="86"/>
    </row>
    <row r="426">
      <c r="B426" s="86"/>
      <c r="C426" s="86"/>
      <c r="D426" s="86"/>
    </row>
    <row r="427">
      <c r="B427" s="86"/>
      <c r="C427" s="86"/>
      <c r="D427" s="86"/>
    </row>
    <row r="428">
      <c r="B428" s="86"/>
      <c r="C428" s="86"/>
      <c r="D428" s="86"/>
    </row>
    <row r="429">
      <c r="B429" s="86"/>
      <c r="C429" s="86"/>
      <c r="D429" s="86"/>
    </row>
    <row r="430">
      <c r="B430" s="86"/>
      <c r="C430" s="86"/>
      <c r="D430" s="86"/>
    </row>
    <row r="431">
      <c r="B431" s="86"/>
      <c r="C431" s="86"/>
      <c r="D431" s="86"/>
    </row>
    <row r="432">
      <c r="B432" s="86"/>
      <c r="C432" s="86"/>
      <c r="D432" s="86"/>
    </row>
    <row r="433">
      <c r="B433" s="86"/>
      <c r="C433" s="86"/>
      <c r="D433" s="86"/>
    </row>
    <row r="434">
      <c r="B434" s="86"/>
      <c r="C434" s="86"/>
      <c r="D434" s="86"/>
    </row>
    <row r="435">
      <c r="B435" s="86"/>
      <c r="C435" s="86"/>
      <c r="D435" s="86"/>
    </row>
    <row r="436">
      <c r="B436" s="86"/>
      <c r="C436" s="86"/>
      <c r="D436" s="86"/>
    </row>
    <row r="437">
      <c r="B437" s="86"/>
      <c r="C437" s="86"/>
      <c r="D437" s="86"/>
    </row>
    <row r="438">
      <c r="B438" s="86"/>
      <c r="C438" s="86"/>
      <c r="D438" s="86"/>
    </row>
    <row r="439">
      <c r="B439" s="86"/>
      <c r="C439" s="86"/>
      <c r="D439" s="86"/>
    </row>
    <row r="440">
      <c r="B440" s="86"/>
      <c r="C440" s="86"/>
      <c r="D440" s="86"/>
    </row>
    <row r="441">
      <c r="B441" s="86"/>
      <c r="C441" s="86"/>
      <c r="D441" s="86"/>
    </row>
    <row r="442">
      <c r="B442" s="86"/>
      <c r="C442" s="86"/>
      <c r="D442" s="86"/>
    </row>
    <row r="443">
      <c r="B443" s="86"/>
      <c r="C443" s="86"/>
      <c r="D443" s="86"/>
    </row>
    <row r="444">
      <c r="B444" s="86"/>
      <c r="C444" s="86"/>
      <c r="D444" s="86"/>
    </row>
    <row r="445">
      <c r="B445" s="86"/>
      <c r="C445" s="86"/>
      <c r="D445" s="86"/>
    </row>
    <row r="446">
      <c r="B446" s="86"/>
      <c r="C446" s="86"/>
      <c r="D446" s="86"/>
    </row>
    <row r="447">
      <c r="B447" s="86"/>
      <c r="C447" s="86"/>
      <c r="D447" s="86"/>
    </row>
    <row r="448">
      <c r="B448" s="86"/>
      <c r="C448" s="86"/>
      <c r="D448" s="86"/>
    </row>
    <row r="449">
      <c r="B449" s="86"/>
      <c r="C449" s="86"/>
      <c r="D449" s="86"/>
    </row>
    <row r="450">
      <c r="B450" s="86"/>
      <c r="C450" s="86"/>
      <c r="D450" s="86"/>
    </row>
    <row r="451">
      <c r="B451" s="86"/>
      <c r="C451" s="86"/>
      <c r="D451" s="86"/>
    </row>
    <row r="452">
      <c r="B452" s="86"/>
      <c r="C452" s="86"/>
      <c r="D452" s="86"/>
    </row>
    <row r="453">
      <c r="B453" s="86"/>
      <c r="C453" s="86"/>
      <c r="D453" s="86"/>
    </row>
    <row r="454">
      <c r="B454" s="86"/>
      <c r="C454" s="86"/>
      <c r="D454" s="86"/>
    </row>
    <row r="455">
      <c r="B455" s="86"/>
      <c r="C455" s="86"/>
      <c r="D455" s="86"/>
    </row>
    <row r="456">
      <c r="B456" s="86"/>
      <c r="C456" s="86"/>
      <c r="D456" s="86"/>
    </row>
    <row r="457">
      <c r="B457" s="86"/>
      <c r="C457" s="86"/>
      <c r="D457" s="86"/>
    </row>
    <row r="458">
      <c r="B458" s="86"/>
      <c r="C458" s="86"/>
      <c r="D458" s="86"/>
    </row>
    <row r="459">
      <c r="B459" s="86"/>
      <c r="C459" s="86"/>
      <c r="D459" s="86"/>
    </row>
    <row r="460">
      <c r="B460" s="86"/>
      <c r="C460" s="86"/>
      <c r="D460" s="86"/>
    </row>
    <row r="461">
      <c r="B461" s="86"/>
      <c r="C461" s="86"/>
      <c r="D461" s="86"/>
    </row>
    <row r="462">
      <c r="B462" s="86"/>
      <c r="C462" s="86"/>
      <c r="D462" s="86"/>
    </row>
    <row r="463">
      <c r="B463" s="86"/>
      <c r="C463" s="86"/>
      <c r="D463" s="86"/>
    </row>
    <row r="464">
      <c r="B464" s="86"/>
      <c r="C464" s="86"/>
      <c r="D464" s="86"/>
    </row>
    <row r="465">
      <c r="B465" s="86"/>
      <c r="C465" s="86"/>
      <c r="D465" s="86"/>
    </row>
    <row r="466">
      <c r="B466" s="86"/>
      <c r="C466" s="86"/>
      <c r="D466" s="86"/>
    </row>
    <row r="467">
      <c r="B467" s="86"/>
      <c r="C467" s="86"/>
      <c r="D467" s="86"/>
    </row>
    <row r="468">
      <c r="B468" s="86"/>
      <c r="C468" s="86"/>
      <c r="D468" s="86"/>
    </row>
    <row r="469">
      <c r="B469" s="86"/>
      <c r="C469" s="86"/>
      <c r="D469" s="86"/>
    </row>
    <row r="470">
      <c r="B470" s="86"/>
      <c r="C470" s="86"/>
      <c r="D470" s="86"/>
    </row>
    <row r="471">
      <c r="B471" s="86"/>
      <c r="C471" s="86"/>
      <c r="D471" s="86"/>
    </row>
    <row r="472">
      <c r="B472" s="86"/>
      <c r="C472" s="86"/>
      <c r="D472" s="86"/>
    </row>
    <row r="473">
      <c r="B473" s="86"/>
      <c r="C473" s="86"/>
      <c r="D473" s="86"/>
    </row>
    <row r="474">
      <c r="B474" s="86"/>
      <c r="C474" s="86"/>
      <c r="D474" s="86"/>
    </row>
    <row r="475">
      <c r="B475" s="86"/>
      <c r="C475" s="86"/>
      <c r="D475" s="86"/>
    </row>
    <row r="476">
      <c r="B476" s="86"/>
      <c r="C476" s="86"/>
      <c r="D476" s="86"/>
    </row>
    <row r="477">
      <c r="B477" s="86"/>
      <c r="C477" s="86"/>
      <c r="D477" s="86"/>
    </row>
    <row r="478">
      <c r="B478" s="86"/>
      <c r="C478" s="86"/>
      <c r="D478" s="86"/>
    </row>
    <row r="479">
      <c r="B479" s="86"/>
      <c r="C479" s="86"/>
      <c r="D479" s="86"/>
    </row>
    <row r="480">
      <c r="B480" s="86"/>
      <c r="C480" s="86"/>
      <c r="D480" s="86"/>
    </row>
    <row r="481">
      <c r="B481" s="86"/>
      <c r="C481" s="86"/>
      <c r="D481" s="86"/>
    </row>
    <row r="482">
      <c r="B482" s="86"/>
      <c r="C482" s="86"/>
      <c r="D482" s="86"/>
    </row>
    <row r="483">
      <c r="B483" s="86"/>
      <c r="C483" s="86"/>
      <c r="D483" s="86"/>
    </row>
    <row r="484">
      <c r="B484" s="86"/>
      <c r="C484" s="86"/>
      <c r="D484" s="86"/>
    </row>
    <row r="485">
      <c r="B485" s="86"/>
      <c r="C485" s="86"/>
      <c r="D485" s="86"/>
    </row>
    <row r="486">
      <c r="B486" s="86"/>
      <c r="C486" s="86"/>
      <c r="D486" s="86"/>
    </row>
    <row r="487">
      <c r="B487" s="86"/>
      <c r="C487" s="86"/>
      <c r="D487" s="86"/>
    </row>
    <row r="488">
      <c r="B488" s="86"/>
      <c r="C488" s="86"/>
      <c r="D488" s="86"/>
    </row>
    <row r="489">
      <c r="B489" s="86"/>
      <c r="C489" s="86"/>
      <c r="D489" s="86"/>
    </row>
    <row r="490">
      <c r="B490" s="86"/>
      <c r="C490" s="86"/>
      <c r="D490" s="86"/>
    </row>
    <row r="491">
      <c r="B491" s="86"/>
      <c r="C491" s="86"/>
      <c r="D491" s="86"/>
    </row>
    <row r="492">
      <c r="B492" s="86"/>
      <c r="C492" s="86"/>
      <c r="D492" s="86"/>
    </row>
    <row r="493">
      <c r="B493" s="86"/>
      <c r="C493" s="86"/>
      <c r="D493" s="86"/>
    </row>
    <row r="494">
      <c r="B494" s="86"/>
      <c r="C494" s="86"/>
      <c r="D494" s="86"/>
    </row>
    <row r="495">
      <c r="B495" s="86"/>
      <c r="C495" s="86"/>
      <c r="D495" s="86"/>
    </row>
    <row r="496">
      <c r="B496" s="86"/>
      <c r="C496" s="86"/>
      <c r="D496" s="86"/>
    </row>
    <row r="497">
      <c r="B497" s="86"/>
      <c r="C497" s="86"/>
      <c r="D497" s="86"/>
    </row>
    <row r="498">
      <c r="B498" s="86"/>
      <c r="C498" s="86"/>
      <c r="D498" s="86"/>
    </row>
    <row r="499">
      <c r="B499" s="86"/>
      <c r="C499" s="86"/>
      <c r="D499" s="86"/>
    </row>
    <row r="500">
      <c r="B500" s="86"/>
      <c r="C500" s="86"/>
      <c r="D500" s="86"/>
    </row>
    <row r="501">
      <c r="B501" s="86"/>
      <c r="C501" s="86"/>
      <c r="D501" s="86"/>
    </row>
    <row r="502">
      <c r="B502" s="86"/>
      <c r="C502" s="86"/>
      <c r="D502" s="86"/>
    </row>
    <row r="503">
      <c r="B503" s="86"/>
      <c r="C503" s="86"/>
      <c r="D503" s="86"/>
    </row>
    <row r="504">
      <c r="B504" s="86"/>
      <c r="C504" s="86"/>
      <c r="D504" s="86"/>
    </row>
    <row r="505">
      <c r="B505" s="86"/>
      <c r="C505" s="86"/>
      <c r="D505" s="86"/>
    </row>
    <row r="506">
      <c r="B506" s="86"/>
      <c r="C506" s="86"/>
      <c r="D506" s="86"/>
    </row>
    <row r="507">
      <c r="B507" s="86"/>
      <c r="C507" s="86"/>
      <c r="D507" s="86"/>
    </row>
    <row r="508">
      <c r="B508" s="86"/>
      <c r="C508" s="86"/>
      <c r="D508" s="86"/>
    </row>
    <row r="509">
      <c r="B509" s="86"/>
      <c r="C509" s="86"/>
      <c r="D509" s="86"/>
    </row>
    <row r="510">
      <c r="B510" s="86"/>
      <c r="C510" s="86"/>
      <c r="D510" s="86"/>
    </row>
    <row r="511">
      <c r="B511" s="86"/>
      <c r="C511" s="86"/>
      <c r="D511" s="86"/>
    </row>
    <row r="512">
      <c r="B512" s="86"/>
      <c r="C512" s="86"/>
      <c r="D512" s="86"/>
    </row>
    <row r="513">
      <c r="B513" s="86"/>
      <c r="C513" s="86"/>
      <c r="D513" s="86"/>
    </row>
    <row r="514">
      <c r="B514" s="86"/>
      <c r="C514" s="86"/>
      <c r="D514" s="86"/>
    </row>
    <row r="515">
      <c r="B515" s="86"/>
      <c r="C515" s="86"/>
      <c r="D515" s="86"/>
    </row>
    <row r="516">
      <c r="B516" s="86"/>
      <c r="C516" s="86"/>
      <c r="D516" s="86"/>
    </row>
    <row r="517">
      <c r="B517" s="86"/>
      <c r="C517" s="86"/>
      <c r="D517" s="86"/>
    </row>
    <row r="518">
      <c r="B518" s="86"/>
      <c r="C518" s="86"/>
      <c r="D518" s="86"/>
    </row>
    <row r="519">
      <c r="B519" s="86"/>
      <c r="C519" s="86"/>
      <c r="D519" s="86"/>
    </row>
    <row r="520">
      <c r="B520" s="86"/>
      <c r="C520" s="86"/>
      <c r="D520" s="86"/>
    </row>
    <row r="521">
      <c r="B521" s="86"/>
      <c r="C521" s="86"/>
      <c r="D521" s="86"/>
    </row>
    <row r="522">
      <c r="B522" s="86"/>
      <c r="C522" s="86"/>
      <c r="D522" s="86"/>
    </row>
    <row r="523">
      <c r="B523" s="86"/>
      <c r="C523" s="86"/>
      <c r="D523" s="86"/>
    </row>
    <row r="524">
      <c r="B524" s="86"/>
      <c r="C524" s="86"/>
      <c r="D524" s="86"/>
    </row>
    <row r="525">
      <c r="B525" s="86"/>
      <c r="C525" s="86"/>
      <c r="D525" s="86"/>
    </row>
    <row r="526">
      <c r="B526" s="86"/>
      <c r="C526" s="86"/>
      <c r="D526" s="86"/>
    </row>
    <row r="527">
      <c r="B527" s="86"/>
      <c r="C527" s="86"/>
      <c r="D527" s="86"/>
    </row>
    <row r="528">
      <c r="B528" s="86"/>
      <c r="C528" s="86"/>
      <c r="D528" s="86"/>
    </row>
    <row r="529">
      <c r="B529" s="86"/>
      <c r="C529" s="86"/>
      <c r="D529" s="86"/>
    </row>
    <row r="530">
      <c r="B530" s="86"/>
      <c r="C530" s="86"/>
      <c r="D530" s="86"/>
    </row>
    <row r="531">
      <c r="B531" s="86"/>
      <c r="C531" s="86"/>
      <c r="D531" s="86"/>
    </row>
    <row r="532">
      <c r="B532" s="86"/>
      <c r="C532" s="86"/>
      <c r="D532" s="86"/>
    </row>
    <row r="533">
      <c r="B533" s="86"/>
      <c r="C533" s="86"/>
      <c r="D533" s="86"/>
    </row>
    <row r="534">
      <c r="B534" s="86"/>
      <c r="C534" s="86"/>
      <c r="D534" s="86"/>
    </row>
    <row r="535">
      <c r="B535" s="86"/>
      <c r="C535" s="86"/>
      <c r="D535" s="86"/>
    </row>
    <row r="536">
      <c r="B536" s="86"/>
      <c r="C536" s="86"/>
      <c r="D536" s="86"/>
    </row>
    <row r="537">
      <c r="B537" s="86"/>
      <c r="C537" s="86"/>
      <c r="D537" s="86"/>
    </row>
    <row r="538">
      <c r="B538" s="86"/>
      <c r="C538" s="86"/>
      <c r="D538" s="86"/>
    </row>
    <row r="539">
      <c r="B539" s="86"/>
      <c r="C539" s="86"/>
      <c r="D539" s="86"/>
    </row>
    <row r="540">
      <c r="B540" s="86"/>
      <c r="C540" s="86"/>
      <c r="D540" s="86"/>
    </row>
    <row r="541">
      <c r="B541" s="86"/>
      <c r="C541" s="86"/>
      <c r="D541" s="86"/>
    </row>
    <row r="542">
      <c r="B542" s="86"/>
      <c r="C542" s="86"/>
      <c r="D542" s="86"/>
    </row>
    <row r="543">
      <c r="B543" s="86"/>
      <c r="C543" s="86"/>
      <c r="D543" s="86"/>
    </row>
    <row r="544">
      <c r="B544" s="86"/>
      <c r="C544" s="86"/>
      <c r="D544" s="86"/>
    </row>
    <row r="545">
      <c r="B545" s="86"/>
      <c r="C545" s="86"/>
      <c r="D545" s="86"/>
    </row>
    <row r="546">
      <c r="B546" s="86"/>
      <c r="C546" s="86"/>
      <c r="D546" s="86"/>
    </row>
    <row r="547">
      <c r="B547" s="86"/>
      <c r="C547" s="86"/>
      <c r="D547" s="86"/>
    </row>
    <row r="548">
      <c r="B548" s="86"/>
      <c r="C548" s="86"/>
      <c r="D548" s="86"/>
    </row>
    <row r="549">
      <c r="B549" s="86"/>
      <c r="C549" s="86"/>
      <c r="D549" s="86"/>
    </row>
    <row r="550">
      <c r="B550" s="86"/>
      <c r="C550" s="86"/>
      <c r="D550" s="86"/>
    </row>
    <row r="551">
      <c r="B551" s="86"/>
      <c r="C551" s="86"/>
      <c r="D551" s="86"/>
    </row>
    <row r="552">
      <c r="B552" s="86"/>
      <c r="C552" s="86"/>
      <c r="D552" s="86"/>
    </row>
    <row r="553">
      <c r="B553" s="86"/>
      <c r="C553" s="86"/>
      <c r="D553" s="86"/>
    </row>
    <row r="554">
      <c r="B554" s="86"/>
      <c r="C554" s="86"/>
      <c r="D554" s="86"/>
    </row>
    <row r="555">
      <c r="B555" s="86"/>
      <c r="C555" s="86"/>
      <c r="D555" s="86"/>
    </row>
    <row r="556">
      <c r="B556" s="86"/>
      <c r="C556" s="86"/>
      <c r="D556" s="86"/>
    </row>
    <row r="557">
      <c r="B557" s="86"/>
      <c r="C557" s="86"/>
      <c r="D557" s="86"/>
    </row>
    <row r="558">
      <c r="B558" s="86"/>
      <c r="C558" s="86"/>
      <c r="D558" s="86"/>
    </row>
    <row r="559">
      <c r="B559" s="86"/>
      <c r="C559" s="86"/>
      <c r="D559" s="86"/>
    </row>
    <row r="560">
      <c r="B560" s="86"/>
      <c r="C560" s="86"/>
      <c r="D560" s="86"/>
    </row>
    <row r="561">
      <c r="B561" s="86"/>
      <c r="C561" s="86"/>
      <c r="D561" s="86"/>
    </row>
    <row r="562">
      <c r="B562" s="86"/>
      <c r="C562" s="86"/>
      <c r="D562" s="86"/>
    </row>
    <row r="563">
      <c r="B563" s="86"/>
      <c r="C563" s="86"/>
      <c r="D563" s="86"/>
    </row>
    <row r="564">
      <c r="B564" s="86"/>
      <c r="C564" s="86"/>
      <c r="D564" s="86"/>
    </row>
    <row r="565">
      <c r="B565" s="86"/>
      <c r="C565" s="86"/>
      <c r="D565" s="86"/>
    </row>
    <row r="566">
      <c r="B566" s="86"/>
      <c r="C566" s="86"/>
      <c r="D566" s="86"/>
    </row>
    <row r="567">
      <c r="B567" s="86"/>
      <c r="C567" s="86"/>
      <c r="D567" s="86"/>
    </row>
    <row r="568">
      <c r="B568" s="86"/>
      <c r="C568" s="86"/>
      <c r="D568" s="86"/>
    </row>
    <row r="569">
      <c r="B569" s="86"/>
      <c r="C569" s="86"/>
      <c r="D569" s="86"/>
    </row>
    <row r="570">
      <c r="B570" s="86"/>
      <c r="C570" s="86"/>
      <c r="D570" s="86"/>
    </row>
    <row r="571">
      <c r="B571" s="86"/>
      <c r="C571" s="86"/>
      <c r="D571" s="86"/>
    </row>
    <row r="572">
      <c r="B572" s="86"/>
      <c r="C572" s="86"/>
      <c r="D572" s="86"/>
    </row>
    <row r="573">
      <c r="B573" s="86"/>
      <c r="C573" s="86"/>
      <c r="D573" s="86"/>
    </row>
    <row r="574">
      <c r="B574" s="86"/>
      <c r="C574" s="86"/>
      <c r="D574" s="86"/>
    </row>
    <row r="575">
      <c r="B575" s="86"/>
      <c r="C575" s="86"/>
      <c r="D575" s="86"/>
    </row>
    <row r="576">
      <c r="B576" s="86"/>
      <c r="C576" s="86"/>
      <c r="D576" s="86"/>
    </row>
    <row r="577">
      <c r="B577" s="86"/>
      <c r="C577" s="86"/>
      <c r="D577" s="86"/>
    </row>
    <row r="578">
      <c r="B578" s="86"/>
      <c r="C578" s="86"/>
      <c r="D578" s="86"/>
    </row>
    <row r="579">
      <c r="B579" s="86"/>
      <c r="C579" s="86"/>
      <c r="D579" s="86"/>
    </row>
    <row r="580">
      <c r="B580" s="86"/>
      <c r="C580" s="86"/>
      <c r="D580" s="86"/>
    </row>
    <row r="581">
      <c r="B581" s="86"/>
      <c r="C581" s="86"/>
      <c r="D581" s="86"/>
    </row>
    <row r="582">
      <c r="B582" s="86"/>
      <c r="C582" s="86"/>
      <c r="D582" s="86"/>
    </row>
    <row r="583">
      <c r="B583" s="86"/>
      <c r="C583" s="86"/>
      <c r="D583" s="86"/>
    </row>
    <row r="584">
      <c r="B584" s="86"/>
      <c r="C584" s="86"/>
      <c r="D584" s="86"/>
    </row>
    <row r="585">
      <c r="B585" s="86"/>
      <c r="C585" s="86"/>
      <c r="D585" s="86"/>
    </row>
    <row r="586">
      <c r="B586" s="86"/>
      <c r="C586" s="86"/>
      <c r="D586" s="86"/>
    </row>
    <row r="587">
      <c r="B587" s="86"/>
      <c r="C587" s="86"/>
      <c r="D587" s="86"/>
    </row>
    <row r="588">
      <c r="B588" s="86"/>
      <c r="C588" s="86"/>
      <c r="D588" s="86"/>
    </row>
    <row r="589">
      <c r="B589" s="86"/>
      <c r="C589" s="86"/>
      <c r="D589" s="86"/>
    </row>
    <row r="590">
      <c r="B590" s="86"/>
      <c r="C590" s="86"/>
      <c r="D590" s="86"/>
    </row>
    <row r="591">
      <c r="B591" s="86"/>
      <c r="C591" s="86"/>
      <c r="D591" s="86"/>
    </row>
    <row r="592">
      <c r="B592" s="86"/>
      <c r="C592" s="86"/>
      <c r="D592" s="86"/>
    </row>
    <row r="593">
      <c r="B593" s="86"/>
      <c r="C593" s="86"/>
      <c r="D593" s="86"/>
    </row>
    <row r="594">
      <c r="B594" s="86"/>
      <c r="C594" s="86"/>
      <c r="D594" s="86"/>
    </row>
    <row r="595">
      <c r="B595" s="86"/>
      <c r="C595" s="86"/>
      <c r="D595" s="86"/>
    </row>
    <row r="596">
      <c r="B596" s="86"/>
      <c r="C596" s="86"/>
      <c r="D596" s="86"/>
    </row>
    <row r="597">
      <c r="B597" s="86"/>
      <c r="C597" s="86"/>
      <c r="D597" s="86"/>
    </row>
    <row r="598">
      <c r="B598" s="86"/>
      <c r="C598" s="86"/>
      <c r="D598" s="86"/>
    </row>
    <row r="599">
      <c r="B599" s="86"/>
      <c r="C599" s="86"/>
      <c r="D599" s="86"/>
    </row>
    <row r="600">
      <c r="B600" s="86"/>
      <c r="C600" s="86"/>
      <c r="D600" s="86"/>
    </row>
    <row r="601">
      <c r="B601" s="86"/>
      <c r="C601" s="86"/>
      <c r="D601" s="86"/>
    </row>
    <row r="602">
      <c r="B602" s="86"/>
      <c r="C602" s="86"/>
      <c r="D602" s="86"/>
    </row>
    <row r="603">
      <c r="B603" s="86"/>
      <c r="C603" s="86"/>
      <c r="D603" s="86"/>
    </row>
    <row r="604">
      <c r="B604" s="86"/>
      <c r="C604" s="86"/>
      <c r="D604" s="86"/>
    </row>
    <row r="605">
      <c r="B605" s="86"/>
      <c r="C605" s="86"/>
      <c r="D605" s="86"/>
    </row>
    <row r="606">
      <c r="B606" s="86"/>
      <c r="C606" s="86"/>
      <c r="D606" s="86"/>
    </row>
    <row r="607">
      <c r="B607" s="86"/>
      <c r="C607" s="86"/>
      <c r="D607" s="86"/>
    </row>
    <row r="608">
      <c r="B608" s="86"/>
      <c r="C608" s="86"/>
      <c r="D608" s="86"/>
    </row>
    <row r="609">
      <c r="B609" s="86"/>
      <c r="C609" s="86"/>
      <c r="D609" s="86"/>
    </row>
    <row r="610">
      <c r="B610" s="86"/>
      <c r="C610" s="86"/>
      <c r="D610" s="86"/>
    </row>
    <row r="611">
      <c r="B611" s="86"/>
      <c r="C611" s="86"/>
      <c r="D611" s="86"/>
    </row>
    <row r="612">
      <c r="B612" s="86"/>
      <c r="C612" s="86"/>
      <c r="D612" s="86"/>
    </row>
    <row r="613">
      <c r="B613" s="86"/>
      <c r="C613" s="86"/>
      <c r="D613" s="86"/>
    </row>
    <row r="614">
      <c r="B614" s="86"/>
      <c r="C614" s="86"/>
      <c r="D614" s="86"/>
    </row>
    <row r="615">
      <c r="B615" s="86"/>
      <c r="C615" s="86"/>
      <c r="D615" s="86"/>
    </row>
    <row r="616">
      <c r="B616" s="86"/>
      <c r="C616" s="86"/>
      <c r="D616" s="86"/>
    </row>
    <row r="617">
      <c r="B617" s="86"/>
      <c r="C617" s="86"/>
      <c r="D617" s="86"/>
    </row>
    <row r="618">
      <c r="B618" s="86"/>
      <c r="C618" s="86"/>
      <c r="D618" s="86"/>
    </row>
    <row r="619">
      <c r="B619" s="86"/>
      <c r="C619" s="86"/>
      <c r="D619" s="86"/>
    </row>
    <row r="620">
      <c r="B620" s="86"/>
      <c r="C620" s="86"/>
      <c r="D620" s="86"/>
    </row>
    <row r="621">
      <c r="B621" s="86"/>
      <c r="C621" s="86"/>
      <c r="D621" s="86"/>
    </row>
    <row r="622">
      <c r="B622" s="86"/>
      <c r="C622" s="86"/>
      <c r="D622" s="86"/>
    </row>
    <row r="623">
      <c r="B623" s="86"/>
      <c r="C623" s="86"/>
      <c r="D623" s="86"/>
    </row>
    <row r="624">
      <c r="B624" s="86"/>
      <c r="C624" s="86"/>
      <c r="D624" s="86"/>
    </row>
    <row r="625">
      <c r="B625" s="86"/>
      <c r="C625" s="86"/>
      <c r="D625" s="86"/>
    </row>
    <row r="626">
      <c r="B626" s="86"/>
      <c r="C626" s="86"/>
      <c r="D626" s="86"/>
    </row>
    <row r="627">
      <c r="B627" s="86"/>
      <c r="C627" s="86"/>
      <c r="D627" s="86"/>
    </row>
    <row r="628">
      <c r="B628" s="86"/>
      <c r="C628" s="86"/>
      <c r="D628" s="86"/>
    </row>
    <row r="629">
      <c r="B629" s="86"/>
      <c r="C629" s="86"/>
      <c r="D629" s="86"/>
    </row>
    <row r="630">
      <c r="B630" s="86"/>
      <c r="C630" s="86"/>
      <c r="D630" s="86"/>
    </row>
    <row r="631">
      <c r="B631" s="86"/>
      <c r="C631" s="86"/>
      <c r="D631" s="86"/>
    </row>
    <row r="632">
      <c r="B632" s="86"/>
      <c r="C632" s="86"/>
      <c r="D632" s="86"/>
    </row>
    <row r="633">
      <c r="B633" s="86"/>
      <c r="C633" s="86"/>
      <c r="D633" s="86"/>
    </row>
    <row r="634">
      <c r="B634" s="86"/>
      <c r="C634" s="86"/>
      <c r="D634" s="86"/>
    </row>
    <row r="635">
      <c r="B635" s="86"/>
      <c r="C635" s="86"/>
      <c r="D635" s="86"/>
    </row>
    <row r="636">
      <c r="B636" s="86"/>
      <c r="C636" s="86"/>
      <c r="D636" s="86"/>
    </row>
    <row r="637">
      <c r="B637" s="86"/>
      <c r="C637" s="86"/>
      <c r="D637" s="86"/>
    </row>
    <row r="638">
      <c r="B638" s="86"/>
      <c r="C638" s="86"/>
      <c r="D638" s="86"/>
    </row>
    <row r="639">
      <c r="B639" s="86"/>
      <c r="C639" s="86"/>
      <c r="D639" s="86"/>
    </row>
    <row r="640">
      <c r="B640" s="86"/>
      <c r="C640" s="86"/>
      <c r="D640" s="86"/>
    </row>
    <row r="641">
      <c r="B641" s="86"/>
      <c r="C641" s="86"/>
      <c r="D641" s="86"/>
    </row>
    <row r="642">
      <c r="B642" s="86"/>
      <c r="C642" s="86"/>
      <c r="D642" s="86"/>
    </row>
    <row r="643">
      <c r="B643" s="86"/>
      <c r="C643" s="86"/>
      <c r="D643" s="86"/>
    </row>
    <row r="644">
      <c r="B644" s="86"/>
      <c r="C644" s="86"/>
      <c r="D644" s="86"/>
    </row>
    <row r="645">
      <c r="B645" s="86"/>
      <c r="C645" s="86"/>
      <c r="D645" s="86"/>
    </row>
    <row r="646">
      <c r="B646" s="86"/>
      <c r="C646" s="86"/>
      <c r="D646" s="86"/>
    </row>
    <row r="647">
      <c r="B647" s="86"/>
      <c r="C647" s="86"/>
      <c r="D647" s="86"/>
    </row>
    <row r="648">
      <c r="B648" s="86"/>
      <c r="C648" s="86"/>
      <c r="D648" s="86"/>
    </row>
    <row r="649">
      <c r="B649" s="86"/>
      <c r="C649" s="86"/>
      <c r="D649" s="86"/>
    </row>
    <row r="650">
      <c r="B650" s="86"/>
      <c r="C650" s="86"/>
      <c r="D650" s="86"/>
    </row>
    <row r="651">
      <c r="B651" s="86"/>
      <c r="C651" s="86"/>
      <c r="D651" s="86"/>
    </row>
    <row r="652">
      <c r="B652" s="86"/>
      <c r="C652" s="86"/>
      <c r="D652" s="86"/>
    </row>
    <row r="653">
      <c r="B653" s="86"/>
      <c r="C653" s="86"/>
      <c r="D653" s="86"/>
    </row>
    <row r="654">
      <c r="B654" s="86"/>
      <c r="C654" s="86"/>
      <c r="D654" s="86"/>
    </row>
    <row r="655">
      <c r="B655" s="86"/>
      <c r="C655" s="86"/>
      <c r="D655" s="86"/>
    </row>
    <row r="656">
      <c r="B656" s="86"/>
      <c r="C656" s="86"/>
      <c r="D656" s="86"/>
    </row>
    <row r="657">
      <c r="B657" s="86"/>
      <c r="C657" s="86"/>
      <c r="D657" s="86"/>
    </row>
    <row r="658">
      <c r="B658" s="86"/>
      <c r="C658" s="86"/>
      <c r="D658" s="86"/>
    </row>
    <row r="659">
      <c r="B659" s="86"/>
      <c r="C659" s="86"/>
      <c r="D659" s="86"/>
    </row>
    <row r="660">
      <c r="B660" s="86"/>
      <c r="C660" s="86"/>
      <c r="D660" s="86"/>
    </row>
    <row r="661">
      <c r="B661" s="86"/>
      <c r="C661" s="86"/>
      <c r="D661" s="86"/>
    </row>
    <row r="662">
      <c r="B662" s="86"/>
      <c r="C662" s="86"/>
      <c r="D662" s="86"/>
    </row>
    <row r="663">
      <c r="B663" s="86"/>
      <c r="C663" s="86"/>
      <c r="D663" s="86"/>
    </row>
    <row r="664">
      <c r="B664" s="86"/>
      <c r="C664" s="86"/>
      <c r="D664" s="86"/>
    </row>
    <row r="665">
      <c r="B665" s="86"/>
      <c r="C665" s="86"/>
      <c r="D665" s="86"/>
    </row>
    <row r="666">
      <c r="B666" s="86"/>
      <c r="C666" s="86"/>
      <c r="D666" s="86"/>
    </row>
    <row r="667">
      <c r="B667" s="86"/>
      <c r="C667" s="86"/>
      <c r="D667" s="86"/>
    </row>
    <row r="668">
      <c r="B668" s="86"/>
      <c r="C668" s="86"/>
      <c r="D668" s="86"/>
    </row>
    <row r="669">
      <c r="B669" s="86"/>
      <c r="C669" s="86"/>
      <c r="D669" s="86"/>
    </row>
    <row r="670">
      <c r="B670" s="86"/>
      <c r="C670" s="86"/>
      <c r="D670" s="86"/>
    </row>
    <row r="671">
      <c r="B671" s="86"/>
      <c r="C671" s="86"/>
      <c r="D671" s="86"/>
    </row>
    <row r="672">
      <c r="B672" s="86"/>
      <c r="C672" s="86"/>
      <c r="D672" s="86"/>
    </row>
    <row r="673">
      <c r="B673" s="86"/>
      <c r="C673" s="86"/>
      <c r="D673" s="86"/>
    </row>
    <row r="674">
      <c r="B674" s="86"/>
      <c r="C674" s="86"/>
      <c r="D674" s="86"/>
    </row>
    <row r="675">
      <c r="B675" s="86"/>
      <c r="C675" s="86"/>
      <c r="D675" s="86"/>
    </row>
    <row r="676">
      <c r="B676" s="86"/>
      <c r="C676" s="86"/>
      <c r="D676" s="86"/>
    </row>
    <row r="677">
      <c r="B677" s="86"/>
      <c r="C677" s="86"/>
      <c r="D677" s="86"/>
    </row>
    <row r="678">
      <c r="B678" s="86"/>
      <c r="C678" s="86"/>
      <c r="D678" s="86"/>
    </row>
    <row r="679">
      <c r="B679" s="86"/>
      <c r="C679" s="86"/>
      <c r="D679" s="86"/>
    </row>
    <row r="680">
      <c r="B680" s="86"/>
      <c r="C680" s="86"/>
      <c r="D680" s="86"/>
    </row>
    <row r="681">
      <c r="B681" s="86"/>
      <c r="C681" s="86"/>
      <c r="D681" s="86"/>
    </row>
    <row r="682">
      <c r="B682" s="86"/>
      <c r="C682" s="86"/>
      <c r="D682" s="86"/>
    </row>
    <row r="683">
      <c r="B683" s="86"/>
      <c r="C683" s="86"/>
      <c r="D683" s="86"/>
    </row>
    <row r="684">
      <c r="B684" s="86"/>
      <c r="C684" s="86"/>
      <c r="D684" s="86"/>
    </row>
    <row r="685">
      <c r="B685" s="86"/>
      <c r="C685" s="86"/>
      <c r="D685" s="86"/>
    </row>
    <row r="686">
      <c r="B686" s="86"/>
      <c r="C686" s="86"/>
      <c r="D686" s="86"/>
    </row>
    <row r="687">
      <c r="B687" s="86"/>
      <c r="C687" s="86"/>
      <c r="D687" s="86"/>
    </row>
    <row r="688">
      <c r="B688" s="86"/>
      <c r="C688" s="86"/>
      <c r="D688" s="86"/>
    </row>
    <row r="689">
      <c r="B689" s="86"/>
      <c r="C689" s="86"/>
      <c r="D689" s="86"/>
    </row>
    <row r="690">
      <c r="B690" s="86"/>
      <c r="C690" s="86"/>
      <c r="D690" s="86"/>
    </row>
    <row r="691">
      <c r="B691" s="86"/>
      <c r="C691" s="86"/>
      <c r="D691" s="86"/>
    </row>
    <row r="692">
      <c r="B692" s="86"/>
      <c r="C692" s="86"/>
      <c r="D692" s="86"/>
    </row>
    <row r="693">
      <c r="B693" s="86"/>
      <c r="C693" s="86"/>
      <c r="D693" s="86"/>
    </row>
    <row r="694">
      <c r="B694" s="86"/>
      <c r="C694" s="86"/>
      <c r="D694" s="86"/>
    </row>
    <row r="695">
      <c r="B695" s="86"/>
      <c r="C695" s="86"/>
      <c r="D695" s="86"/>
    </row>
    <row r="696">
      <c r="B696" s="86"/>
      <c r="C696" s="86"/>
      <c r="D696" s="86"/>
    </row>
    <row r="697">
      <c r="B697" s="86"/>
      <c r="C697" s="86"/>
      <c r="D697" s="86"/>
    </row>
    <row r="698">
      <c r="B698" s="86"/>
      <c r="C698" s="86"/>
      <c r="D698" s="86"/>
    </row>
    <row r="699">
      <c r="B699" s="86"/>
      <c r="C699" s="86"/>
      <c r="D699" s="86"/>
    </row>
    <row r="700">
      <c r="B700" s="86"/>
      <c r="C700" s="86"/>
      <c r="D700" s="86"/>
    </row>
    <row r="701">
      <c r="B701" s="86"/>
      <c r="C701" s="86"/>
      <c r="D701" s="86"/>
    </row>
    <row r="702">
      <c r="B702" s="86"/>
      <c r="C702" s="86"/>
      <c r="D702" s="86"/>
    </row>
    <row r="703">
      <c r="B703" s="86"/>
      <c r="C703" s="86"/>
      <c r="D703" s="86"/>
    </row>
    <row r="704">
      <c r="B704" s="86"/>
      <c r="C704" s="86"/>
      <c r="D704" s="86"/>
    </row>
    <row r="705">
      <c r="B705" s="86"/>
      <c r="C705" s="86"/>
      <c r="D705" s="86"/>
    </row>
    <row r="706">
      <c r="B706" s="86"/>
      <c r="C706" s="86"/>
      <c r="D706" s="86"/>
    </row>
    <row r="707">
      <c r="B707" s="86"/>
      <c r="C707" s="86"/>
      <c r="D707" s="86"/>
    </row>
    <row r="708">
      <c r="B708" s="86"/>
      <c r="C708" s="86"/>
      <c r="D708" s="86"/>
    </row>
    <row r="709">
      <c r="B709" s="86"/>
      <c r="C709" s="86"/>
      <c r="D709" s="86"/>
    </row>
    <row r="710">
      <c r="B710" s="86"/>
      <c r="C710" s="86"/>
      <c r="D710" s="86"/>
    </row>
    <row r="711">
      <c r="B711" s="86"/>
      <c r="C711" s="86"/>
      <c r="D711" s="86"/>
    </row>
    <row r="712">
      <c r="B712" s="86"/>
      <c r="C712" s="86"/>
      <c r="D712" s="86"/>
    </row>
    <row r="713">
      <c r="B713" s="86"/>
      <c r="C713" s="86"/>
      <c r="D713" s="86"/>
    </row>
    <row r="714">
      <c r="B714" s="86"/>
      <c r="C714" s="86"/>
      <c r="D714" s="86"/>
    </row>
    <row r="715">
      <c r="B715" s="86"/>
      <c r="C715" s="86"/>
      <c r="D715" s="86"/>
    </row>
    <row r="716">
      <c r="B716" s="86"/>
      <c r="C716" s="86"/>
      <c r="D716" s="86"/>
    </row>
    <row r="717">
      <c r="B717" s="86"/>
      <c r="C717" s="86"/>
      <c r="D717" s="86"/>
    </row>
    <row r="718">
      <c r="B718" s="86"/>
      <c r="C718" s="86"/>
      <c r="D718" s="86"/>
    </row>
    <row r="719">
      <c r="B719" s="86"/>
      <c r="C719" s="86"/>
      <c r="D719" s="86"/>
    </row>
    <row r="720">
      <c r="B720" s="86"/>
      <c r="C720" s="86"/>
      <c r="D720" s="86"/>
    </row>
    <row r="721">
      <c r="B721" s="86"/>
      <c r="C721" s="86"/>
      <c r="D721" s="86"/>
    </row>
    <row r="722">
      <c r="B722" s="86"/>
      <c r="C722" s="86"/>
      <c r="D722" s="86"/>
    </row>
    <row r="723">
      <c r="B723" s="86"/>
      <c r="C723" s="86"/>
      <c r="D723" s="86"/>
    </row>
    <row r="724">
      <c r="B724" s="86"/>
      <c r="C724" s="86"/>
      <c r="D724" s="86"/>
    </row>
    <row r="725">
      <c r="B725" s="86"/>
      <c r="C725" s="86"/>
      <c r="D725" s="86"/>
    </row>
    <row r="726">
      <c r="B726" s="86"/>
      <c r="C726" s="86"/>
      <c r="D726" s="86"/>
    </row>
    <row r="727">
      <c r="B727" s="86"/>
      <c r="C727" s="86"/>
      <c r="D727" s="86"/>
    </row>
    <row r="728">
      <c r="B728" s="86"/>
      <c r="C728" s="86"/>
      <c r="D728" s="86"/>
    </row>
    <row r="729">
      <c r="B729" s="86"/>
      <c r="C729" s="86"/>
      <c r="D729" s="86"/>
    </row>
    <row r="730">
      <c r="B730" s="86"/>
      <c r="C730" s="86"/>
      <c r="D730" s="86"/>
    </row>
    <row r="731">
      <c r="B731" s="86"/>
      <c r="C731" s="86"/>
      <c r="D731" s="86"/>
    </row>
    <row r="732">
      <c r="B732" s="86"/>
      <c r="C732" s="86"/>
      <c r="D732" s="86"/>
    </row>
    <row r="733">
      <c r="B733" s="86"/>
      <c r="C733" s="86"/>
      <c r="D733" s="86"/>
    </row>
    <row r="734">
      <c r="B734" s="86"/>
      <c r="C734" s="86"/>
      <c r="D734" s="86"/>
    </row>
    <row r="735">
      <c r="B735" s="86"/>
      <c r="C735" s="86"/>
      <c r="D735" s="86"/>
    </row>
    <row r="736">
      <c r="B736" s="86"/>
      <c r="C736" s="86"/>
      <c r="D736" s="86"/>
    </row>
    <row r="737">
      <c r="B737" s="86"/>
      <c r="C737" s="86"/>
      <c r="D737" s="86"/>
    </row>
    <row r="738">
      <c r="B738" s="86"/>
      <c r="C738" s="86"/>
      <c r="D738" s="86"/>
    </row>
    <row r="739">
      <c r="B739" s="86"/>
      <c r="C739" s="86"/>
      <c r="D739" s="86"/>
    </row>
    <row r="740">
      <c r="B740" s="86"/>
      <c r="C740" s="86"/>
      <c r="D740" s="86"/>
    </row>
    <row r="741">
      <c r="B741" s="86"/>
      <c r="C741" s="86"/>
      <c r="D741" s="86"/>
    </row>
    <row r="742">
      <c r="B742" s="86"/>
      <c r="C742" s="86"/>
      <c r="D742" s="86"/>
    </row>
    <row r="743">
      <c r="B743" s="86"/>
      <c r="C743" s="86"/>
      <c r="D743" s="86"/>
    </row>
    <row r="744">
      <c r="B744" s="86"/>
      <c r="C744" s="86"/>
      <c r="D744" s="86"/>
    </row>
    <row r="745">
      <c r="B745" s="86"/>
      <c r="C745" s="86"/>
      <c r="D745" s="86"/>
    </row>
    <row r="746">
      <c r="B746" s="86"/>
      <c r="C746" s="86"/>
      <c r="D746" s="86"/>
    </row>
    <row r="747">
      <c r="B747" s="86"/>
      <c r="C747" s="86"/>
      <c r="D747" s="86"/>
    </row>
    <row r="748">
      <c r="B748" s="86"/>
      <c r="C748" s="86"/>
      <c r="D748" s="86"/>
    </row>
    <row r="749">
      <c r="B749" s="86"/>
      <c r="C749" s="86"/>
      <c r="D749" s="86"/>
    </row>
    <row r="750">
      <c r="B750" s="86"/>
      <c r="C750" s="86"/>
      <c r="D750" s="86"/>
    </row>
    <row r="751">
      <c r="B751" s="86"/>
      <c r="C751" s="86"/>
      <c r="D751" s="86"/>
    </row>
    <row r="752">
      <c r="B752" s="86"/>
      <c r="C752" s="86"/>
      <c r="D752" s="86"/>
    </row>
    <row r="753">
      <c r="B753" s="86"/>
      <c r="C753" s="86"/>
      <c r="D753" s="86"/>
    </row>
    <row r="754">
      <c r="B754" s="86"/>
      <c r="C754" s="86"/>
      <c r="D754" s="86"/>
    </row>
    <row r="755">
      <c r="B755" s="86"/>
      <c r="C755" s="86"/>
      <c r="D755" s="86"/>
    </row>
    <row r="756">
      <c r="B756" s="86"/>
      <c r="C756" s="86"/>
      <c r="D756" s="86"/>
    </row>
    <row r="757">
      <c r="B757" s="86"/>
      <c r="C757" s="86"/>
      <c r="D757" s="86"/>
    </row>
    <row r="758">
      <c r="B758" s="86"/>
      <c r="C758" s="86"/>
      <c r="D758" s="86"/>
    </row>
    <row r="759">
      <c r="B759" s="86"/>
      <c r="C759" s="86"/>
      <c r="D759" s="86"/>
    </row>
    <row r="760">
      <c r="B760" s="86"/>
      <c r="C760" s="86"/>
      <c r="D760" s="86"/>
    </row>
    <row r="761">
      <c r="B761" s="86"/>
      <c r="C761" s="86"/>
      <c r="D761" s="86"/>
    </row>
    <row r="762">
      <c r="B762" s="86"/>
      <c r="C762" s="86"/>
      <c r="D762" s="86"/>
    </row>
    <row r="763">
      <c r="B763" s="86"/>
      <c r="C763" s="86"/>
      <c r="D763" s="86"/>
    </row>
    <row r="764">
      <c r="B764" s="86"/>
      <c r="C764" s="86"/>
      <c r="D764" s="86"/>
    </row>
    <row r="765">
      <c r="B765" s="86"/>
      <c r="C765" s="86"/>
      <c r="D765" s="86"/>
    </row>
    <row r="766">
      <c r="B766" s="86"/>
      <c r="C766" s="86"/>
      <c r="D766" s="86"/>
    </row>
    <row r="767">
      <c r="B767" s="86"/>
      <c r="C767" s="86"/>
      <c r="D767" s="86"/>
    </row>
    <row r="768">
      <c r="B768" s="86"/>
      <c r="C768" s="86"/>
      <c r="D768" s="86"/>
    </row>
    <row r="769">
      <c r="B769" s="86"/>
      <c r="C769" s="86"/>
      <c r="D769" s="86"/>
    </row>
    <row r="770">
      <c r="B770" s="86"/>
      <c r="C770" s="86"/>
      <c r="D770" s="86"/>
    </row>
    <row r="771">
      <c r="B771" s="86"/>
      <c r="C771" s="86"/>
      <c r="D771" s="86"/>
    </row>
    <row r="772">
      <c r="B772" s="86"/>
      <c r="C772" s="86"/>
      <c r="D772" s="86"/>
    </row>
    <row r="773">
      <c r="B773" s="86"/>
      <c r="C773" s="86"/>
      <c r="D773" s="86"/>
    </row>
    <row r="774">
      <c r="B774" s="86"/>
      <c r="C774" s="86"/>
      <c r="D774" s="86"/>
    </row>
    <row r="775">
      <c r="B775" s="86"/>
      <c r="C775" s="86"/>
      <c r="D775" s="86"/>
    </row>
    <row r="776">
      <c r="B776" s="86"/>
      <c r="C776" s="86"/>
      <c r="D776" s="86"/>
    </row>
    <row r="777">
      <c r="B777" s="86"/>
      <c r="C777" s="86"/>
      <c r="D777" s="86"/>
    </row>
    <row r="778">
      <c r="B778" s="86"/>
      <c r="C778" s="86"/>
      <c r="D778" s="86"/>
    </row>
    <row r="779">
      <c r="B779" s="86"/>
      <c r="C779" s="86"/>
      <c r="D779" s="86"/>
    </row>
    <row r="780">
      <c r="B780" s="86"/>
      <c r="C780" s="86"/>
      <c r="D780" s="86"/>
    </row>
    <row r="781">
      <c r="B781" s="86"/>
      <c r="C781" s="86"/>
      <c r="D781" s="86"/>
    </row>
    <row r="782">
      <c r="B782" s="86"/>
      <c r="C782" s="86"/>
      <c r="D782" s="86"/>
    </row>
    <row r="783">
      <c r="B783" s="86"/>
      <c r="C783" s="86"/>
      <c r="D783" s="86"/>
    </row>
    <row r="784">
      <c r="B784" s="86"/>
      <c r="C784" s="86"/>
      <c r="D784" s="86"/>
    </row>
    <row r="785">
      <c r="B785" s="86"/>
      <c r="C785" s="86"/>
      <c r="D785" s="86"/>
    </row>
    <row r="786">
      <c r="B786" s="86"/>
      <c r="C786" s="86"/>
      <c r="D786" s="86"/>
    </row>
    <row r="787">
      <c r="B787" s="86"/>
      <c r="C787" s="86"/>
      <c r="D787" s="86"/>
    </row>
    <row r="788">
      <c r="B788" s="86"/>
      <c r="C788" s="86"/>
      <c r="D788" s="86"/>
    </row>
    <row r="789">
      <c r="B789" s="86"/>
      <c r="C789" s="86"/>
      <c r="D789" s="86"/>
    </row>
    <row r="790">
      <c r="B790" s="86"/>
      <c r="C790" s="86"/>
      <c r="D790" s="86"/>
    </row>
    <row r="791">
      <c r="B791" s="86"/>
      <c r="C791" s="86"/>
      <c r="D791" s="86"/>
    </row>
    <row r="792">
      <c r="B792" s="86"/>
      <c r="C792" s="86"/>
      <c r="D792" s="86"/>
    </row>
    <row r="793">
      <c r="B793" s="86"/>
      <c r="C793" s="86"/>
      <c r="D793" s="86"/>
    </row>
    <row r="794">
      <c r="B794" s="86"/>
      <c r="C794" s="86"/>
      <c r="D794" s="86"/>
    </row>
    <row r="795">
      <c r="B795" s="86"/>
      <c r="C795" s="86"/>
      <c r="D795" s="86"/>
    </row>
    <row r="796">
      <c r="B796" s="86"/>
      <c r="C796" s="86"/>
      <c r="D796" s="86"/>
    </row>
    <row r="797">
      <c r="B797" s="86"/>
      <c r="C797" s="86"/>
      <c r="D797" s="86"/>
    </row>
    <row r="798">
      <c r="B798" s="86"/>
      <c r="C798" s="86"/>
      <c r="D798" s="86"/>
    </row>
    <row r="799">
      <c r="B799" s="86"/>
      <c r="C799" s="86"/>
      <c r="D799" s="86"/>
    </row>
    <row r="800">
      <c r="B800" s="86"/>
      <c r="C800" s="86"/>
      <c r="D800" s="86"/>
    </row>
    <row r="801">
      <c r="B801" s="86"/>
      <c r="C801" s="86"/>
      <c r="D801" s="86"/>
    </row>
    <row r="802">
      <c r="B802" s="86"/>
      <c r="C802" s="86"/>
      <c r="D802" s="86"/>
    </row>
    <row r="803">
      <c r="B803" s="86"/>
      <c r="C803" s="86"/>
      <c r="D803" s="86"/>
    </row>
    <row r="804">
      <c r="B804" s="86"/>
      <c r="C804" s="86"/>
      <c r="D804" s="86"/>
    </row>
    <row r="805">
      <c r="B805" s="86"/>
      <c r="C805" s="86"/>
      <c r="D805" s="86"/>
    </row>
    <row r="806">
      <c r="B806" s="86"/>
      <c r="C806" s="86"/>
      <c r="D806" s="86"/>
    </row>
    <row r="807">
      <c r="B807" s="86"/>
      <c r="C807" s="86"/>
      <c r="D807" s="86"/>
    </row>
    <row r="808">
      <c r="B808" s="86"/>
      <c r="C808" s="86"/>
      <c r="D808" s="86"/>
    </row>
    <row r="809">
      <c r="B809" s="86"/>
      <c r="C809" s="86"/>
      <c r="D809" s="86"/>
    </row>
    <row r="810">
      <c r="B810" s="86"/>
      <c r="C810" s="86"/>
      <c r="D810" s="86"/>
    </row>
    <row r="811">
      <c r="B811" s="86"/>
      <c r="C811" s="86"/>
      <c r="D811" s="86"/>
    </row>
    <row r="812">
      <c r="B812" s="86"/>
      <c r="C812" s="86"/>
      <c r="D812" s="86"/>
    </row>
    <row r="813">
      <c r="B813" s="86"/>
      <c r="C813" s="86"/>
      <c r="D813" s="86"/>
    </row>
    <row r="814">
      <c r="B814" s="86"/>
      <c r="C814" s="86"/>
      <c r="D814" s="86"/>
    </row>
    <row r="815">
      <c r="B815" s="86"/>
      <c r="C815" s="86"/>
      <c r="D815" s="86"/>
    </row>
    <row r="816">
      <c r="B816" s="86"/>
      <c r="C816" s="86"/>
      <c r="D816" s="86"/>
    </row>
    <row r="817">
      <c r="B817" s="86"/>
      <c r="C817" s="86"/>
      <c r="D817" s="86"/>
    </row>
    <row r="818">
      <c r="B818" s="86"/>
      <c r="C818" s="86"/>
      <c r="D818" s="86"/>
    </row>
    <row r="819">
      <c r="B819" s="86"/>
      <c r="C819" s="86"/>
      <c r="D819" s="86"/>
    </row>
    <row r="820">
      <c r="B820" s="86"/>
      <c r="C820" s="86"/>
      <c r="D820" s="86"/>
    </row>
    <row r="821">
      <c r="B821" s="86"/>
      <c r="C821" s="86"/>
      <c r="D821" s="86"/>
    </row>
    <row r="822">
      <c r="B822" s="86"/>
      <c r="C822" s="86"/>
      <c r="D822" s="86"/>
    </row>
    <row r="823">
      <c r="B823" s="86"/>
      <c r="C823" s="86"/>
      <c r="D823" s="86"/>
    </row>
    <row r="824">
      <c r="B824" s="86"/>
      <c r="C824" s="86"/>
      <c r="D824" s="86"/>
    </row>
    <row r="825">
      <c r="B825" s="86"/>
      <c r="C825" s="86"/>
      <c r="D825" s="86"/>
    </row>
    <row r="826">
      <c r="B826" s="86"/>
      <c r="C826" s="86"/>
      <c r="D826" s="86"/>
    </row>
    <row r="827">
      <c r="B827" s="86"/>
      <c r="C827" s="86"/>
      <c r="D827" s="86"/>
    </row>
    <row r="828">
      <c r="B828" s="86"/>
      <c r="C828" s="86"/>
      <c r="D828" s="86"/>
    </row>
    <row r="829">
      <c r="B829" s="86"/>
      <c r="C829" s="86"/>
      <c r="D829" s="86"/>
    </row>
    <row r="830">
      <c r="B830" s="86"/>
      <c r="C830" s="86"/>
      <c r="D830" s="86"/>
    </row>
    <row r="831">
      <c r="B831" s="86"/>
      <c r="C831" s="86"/>
      <c r="D831" s="86"/>
    </row>
    <row r="832">
      <c r="B832" s="86"/>
      <c r="C832" s="86"/>
      <c r="D832" s="86"/>
    </row>
    <row r="833">
      <c r="B833" s="86"/>
      <c r="C833" s="86"/>
      <c r="D833" s="86"/>
    </row>
    <row r="834">
      <c r="B834" s="86"/>
      <c r="C834" s="86"/>
      <c r="D834" s="86"/>
    </row>
    <row r="835">
      <c r="B835" s="86"/>
      <c r="C835" s="86"/>
      <c r="D835" s="86"/>
    </row>
    <row r="836">
      <c r="B836" s="86"/>
      <c r="C836" s="86"/>
      <c r="D836" s="86"/>
    </row>
    <row r="837">
      <c r="B837" s="86"/>
      <c r="C837" s="86"/>
      <c r="D837" s="86"/>
    </row>
    <row r="838">
      <c r="B838" s="86"/>
      <c r="C838" s="86"/>
      <c r="D838" s="86"/>
    </row>
    <row r="839">
      <c r="B839" s="86"/>
      <c r="C839" s="86"/>
      <c r="D839" s="86"/>
    </row>
    <row r="840">
      <c r="B840" s="86"/>
      <c r="C840" s="86"/>
      <c r="D840" s="86"/>
    </row>
    <row r="841">
      <c r="B841" s="86"/>
      <c r="C841" s="86"/>
      <c r="D841" s="86"/>
    </row>
    <row r="842">
      <c r="B842" s="86"/>
      <c r="C842" s="86"/>
      <c r="D842" s="86"/>
    </row>
    <row r="843">
      <c r="B843" s="86"/>
      <c r="C843" s="86"/>
      <c r="D843" s="86"/>
    </row>
    <row r="844">
      <c r="B844" s="86"/>
      <c r="C844" s="86"/>
      <c r="D844" s="86"/>
    </row>
    <row r="845">
      <c r="B845" s="86"/>
      <c r="C845" s="86"/>
      <c r="D845" s="86"/>
    </row>
    <row r="846">
      <c r="B846" s="86"/>
      <c r="C846" s="86"/>
      <c r="D846" s="86"/>
    </row>
    <row r="847">
      <c r="B847" s="86"/>
      <c r="C847" s="86"/>
      <c r="D847" s="86"/>
    </row>
    <row r="848">
      <c r="B848" s="86"/>
      <c r="C848" s="86"/>
      <c r="D848" s="86"/>
    </row>
    <row r="849">
      <c r="B849" s="86"/>
      <c r="C849" s="86"/>
      <c r="D849" s="86"/>
    </row>
    <row r="850">
      <c r="B850" s="86"/>
      <c r="C850" s="86"/>
      <c r="D850" s="86"/>
    </row>
    <row r="851">
      <c r="B851" s="86"/>
      <c r="C851" s="86"/>
      <c r="D851" s="86"/>
    </row>
    <row r="852">
      <c r="B852" s="86"/>
      <c r="C852" s="86"/>
      <c r="D852" s="86"/>
    </row>
    <row r="853">
      <c r="B853" s="86"/>
      <c r="C853" s="86"/>
      <c r="D853" s="86"/>
    </row>
    <row r="854">
      <c r="B854" s="86"/>
      <c r="C854" s="86"/>
      <c r="D854" s="86"/>
    </row>
    <row r="855">
      <c r="B855" s="86"/>
      <c r="C855" s="86"/>
      <c r="D855" s="86"/>
    </row>
    <row r="856">
      <c r="B856" s="86"/>
      <c r="C856" s="86"/>
      <c r="D856" s="86"/>
    </row>
    <row r="857">
      <c r="B857" s="86"/>
      <c r="C857" s="86"/>
      <c r="D857" s="86"/>
    </row>
    <row r="858">
      <c r="B858" s="86"/>
      <c r="C858" s="86"/>
      <c r="D858" s="86"/>
    </row>
    <row r="859">
      <c r="B859" s="86"/>
      <c r="C859" s="86"/>
      <c r="D859" s="86"/>
    </row>
    <row r="860">
      <c r="B860" s="86"/>
      <c r="C860" s="86"/>
      <c r="D860" s="86"/>
    </row>
    <row r="861">
      <c r="B861" s="86"/>
      <c r="C861" s="86"/>
      <c r="D861" s="86"/>
    </row>
    <row r="862">
      <c r="B862" s="86"/>
      <c r="C862" s="86"/>
      <c r="D862" s="86"/>
    </row>
    <row r="863">
      <c r="B863" s="86"/>
      <c r="C863" s="86"/>
      <c r="D863" s="86"/>
    </row>
    <row r="864">
      <c r="B864" s="86"/>
      <c r="C864" s="86"/>
      <c r="D864" s="86"/>
    </row>
    <row r="865">
      <c r="B865" s="86"/>
      <c r="C865" s="86"/>
      <c r="D865" s="86"/>
    </row>
    <row r="866">
      <c r="B866" s="86"/>
      <c r="C866" s="86"/>
      <c r="D866" s="86"/>
    </row>
    <row r="867">
      <c r="B867" s="86"/>
      <c r="C867" s="86"/>
      <c r="D867" s="86"/>
    </row>
    <row r="868">
      <c r="B868" s="86"/>
      <c r="C868" s="86"/>
      <c r="D868" s="86"/>
    </row>
    <row r="869">
      <c r="B869" s="86"/>
      <c r="C869" s="86"/>
      <c r="D869" s="86"/>
    </row>
    <row r="870">
      <c r="B870" s="86"/>
      <c r="C870" s="86"/>
      <c r="D870" s="86"/>
    </row>
    <row r="871">
      <c r="B871" s="86"/>
      <c r="C871" s="86"/>
      <c r="D871" s="86"/>
    </row>
    <row r="872">
      <c r="B872" s="86"/>
      <c r="C872" s="86"/>
      <c r="D872" s="86"/>
    </row>
    <row r="873">
      <c r="B873" s="86"/>
      <c r="C873" s="86"/>
      <c r="D873" s="86"/>
    </row>
    <row r="874">
      <c r="B874" s="86"/>
      <c r="C874" s="86"/>
      <c r="D874" s="86"/>
    </row>
    <row r="875">
      <c r="B875" s="86"/>
      <c r="C875" s="86"/>
      <c r="D875" s="86"/>
    </row>
    <row r="876">
      <c r="B876" s="86"/>
      <c r="C876" s="86"/>
      <c r="D876" s="86"/>
    </row>
    <row r="877">
      <c r="B877" s="86"/>
      <c r="C877" s="86"/>
      <c r="D877" s="86"/>
    </row>
    <row r="878">
      <c r="B878" s="86"/>
      <c r="C878" s="86"/>
      <c r="D878" s="86"/>
    </row>
    <row r="879">
      <c r="B879" s="86"/>
      <c r="C879" s="86"/>
      <c r="D879" s="86"/>
    </row>
    <row r="880">
      <c r="B880" s="86"/>
      <c r="C880" s="86"/>
      <c r="D880" s="86"/>
    </row>
    <row r="881">
      <c r="B881" s="86"/>
      <c r="C881" s="86"/>
      <c r="D881" s="86"/>
    </row>
    <row r="882">
      <c r="B882" s="86"/>
      <c r="C882" s="86"/>
      <c r="D882" s="86"/>
    </row>
    <row r="883">
      <c r="B883" s="86"/>
      <c r="C883" s="86"/>
      <c r="D883" s="86"/>
    </row>
    <row r="884">
      <c r="B884" s="86"/>
      <c r="C884" s="86"/>
      <c r="D884" s="86"/>
    </row>
    <row r="885">
      <c r="B885" s="86"/>
      <c r="C885" s="86"/>
      <c r="D885" s="86"/>
    </row>
    <row r="886">
      <c r="B886" s="86"/>
      <c r="C886" s="86"/>
      <c r="D886" s="86"/>
    </row>
    <row r="887">
      <c r="B887" s="86"/>
      <c r="C887" s="86"/>
      <c r="D887" s="86"/>
    </row>
    <row r="888">
      <c r="B888" s="86"/>
      <c r="C888" s="86"/>
      <c r="D888" s="86"/>
    </row>
    <row r="889">
      <c r="B889" s="86"/>
      <c r="C889" s="86"/>
      <c r="D889" s="86"/>
    </row>
    <row r="890">
      <c r="B890" s="86"/>
      <c r="C890" s="86"/>
      <c r="D890" s="86"/>
    </row>
    <row r="891">
      <c r="B891" s="86"/>
      <c r="C891" s="86"/>
      <c r="D891" s="86"/>
    </row>
    <row r="892">
      <c r="B892" s="86"/>
      <c r="C892" s="86"/>
      <c r="D892" s="86"/>
    </row>
    <row r="893">
      <c r="B893" s="86"/>
      <c r="C893" s="86"/>
      <c r="D893" s="86"/>
    </row>
    <row r="894">
      <c r="B894" s="86"/>
      <c r="C894" s="86"/>
      <c r="D894" s="86"/>
    </row>
    <row r="895">
      <c r="B895" s="86"/>
      <c r="C895" s="86"/>
      <c r="D895" s="86"/>
    </row>
    <row r="896">
      <c r="B896" s="86"/>
      <c r="C896" s="86"/>
      <c r="D896" s="86"/>
    </row>
    <row r="897">
      <c r="B897" s="86"/>
      <c r="C897" s="86"/>
      <c r="D897" s="86"/>
    </row>
    <row r="898">
      <c r="B898" s="86"/>
      <c r="C898" s="86"/>
      <c r="D898" s="86"/>
    </row>
    <row r="899">
      <c r="B899" s="86"/>
      <c r="C899" s="86"/>
      <c r="D899" s="86"/>
    </row>
    <row r="900">
      <c r="B900" s="86"/>
      <c r="C900" s="86"/>
      <c r="D900" s="86"/>
    </row>
    <row r="901">
      <c r="B901" s="86"/>
      <c r="C901" s="86"/>
      <c r="D901" s="86"/>
    </row>
    <row r="902">
      <c r="B902" s="86"/>
      <c r="C902" s="86"/>
      <c r="D902" s="86"/>
    </row>
    <row r="903">
      <c r="B903" s="86"/>
      <c r="C903" s="86"/>
      <c r="D903" s="86"/>
    </row>
    <row r="904">
      <c r="B904" s="86"/>
      <c r="C904" s="86"/>
      <c r="D904" s="86"/>
    </row>
    <row r="905">
      <c r="B905" s="86"/>
      <c r="C905" s="86"/>
      <c r="D905" s="86"/>
    </row>
    <row r="906">
      <c r="B906" s="86"/>
      <c r="C906" s="86"/>
      <c r="D906" s="86"/>
    </row>
    <row r="907">
      <c r="B907" s="86"/>
      <c r="C907" s="86"/>
      <c r="D907" s="86"/>
    </row>
    <row r="908">
      <c r="B908" s="86"/>
      <c r="C908" s="86"/>
      <c r="D908" s="86"/>
    </row>
    <row r="909">
      <c r="B909" s="86"/>
      <c r="C909" s="86"/>
      <c r="D909" s="86"/>
    </row>
    <row r="910">
      <c r="B910" s="86"/>
      <c r="C910" s="86"/>
      <c r="D910" s="86"/>
    </row>
    <row r="911">
      <c r="B911" s="86"/>
      <c r="C911" s="86"/>
      <c r="D911" s="86"/>
    </row>
    <row r="912">
      <c r="B912" s="86"/>
      <c r="C912" s="86"/>
      <c r="D912" s="86"/>
    </row>
    <row r="913">
      <c r="B913" s="86"/>
      <c r="C913" s="86"/>
      <c r="D913" s="86"/>
    </row>
    <row r="914">
      <c r="B914" s="86"/>
      <c r="C914" s="86"/>
      <c r="D914" s="86"/>
    </row>
    <row r="915">
      <c r="B915" s="86"/>
      <c r="C915" s="86"/>
      <c r="D915" s="86"/>
    </row>
    <row r="916">
      <c r="B916" s="86"/>
      <c r="C916" s="86"/>
      <c r="D916" s="86"/>
    </row>
    <row r="917">
      <c r="B917" s="86"/>
      <c r="C917" s="86"/>
      <c r="D917" s="86"/>
    </row>
    <row r="918">
      <c r="B918" s="86"/>
      <c r="C918" s="86"/>
      <c r="D918" s="86"/>
    </row>
    <row r="919">
      <c r="B919" s="86"/>
      <c r="C919" s="86"/>
      <c r="D919" s="86"/>
    </row>
    <row r="920">
      <c r="B920" s="86"/>
      <c r="C920" s="86"/>
      <c r="D920" s="86"/>
    </row>
    <row r="921">
      <c r="B921" s="86"/>
      <c r="C921" s="86"/>
      <c r="D921" s="86"/>
    </row>
    <row r="922">
      <c r="B922" s="86"/>
      <c r="C922" s="86"/>
      <c r="D922" s="86"/>
    </row>
    <row r="923">
      <c r="B923" s="86"/>
      <c r="C923" s="86"/>
      <c r="D923" s="86"/>
    </row>
    <row r="924">
      <c r="B924" s="86"/>
      <c r="C924" s="86"/>
      <c r="D924" s="86"/>
    </row>
    <row r="925">
      <c r="B925" s="86"/>
      <c r="C925" s="86"/>
      <c r="D925" s="86"/>
    </row>
    <row r="926">
      <c r="B926" s="86"/>
      <c r="C926" s="86"/>
      <c r="D926" s="86"/>
    </row>
    <row r="927">
      <c r="B927" s="86"/>
      <c r="C927" s="86"/>
      <c r="D927" s="86"/>
    </row>
    <row r="928">
      <c r="B928" s="86"/>
      <c r="C928" s="86"/>
      <c r="D928" s="86"/>
    </row>
    <row r="929">
      <c r="B929" s="86"/>
      <c r="C929" s="86"/>
      <c r="D929" s="86"/>
    </row>
    <row r="930">
      <c r="B930" s="86"/>
      <c r="C930" s="86"/>
      <c r="D930" s="86"/>
    </row>
    <row r="931">
      <c r="B931" s="86"/>
      <c r="C931" s="86"/>
      <c r="D931" s="86"/>
    </row>
    <row r="932">
      <c r="B932" s="86"/>
      <c r="C932" s="86"/>
      <c r="D932" s="86"/>
    </row>
    <row r="933">
      <c r="B933" s="86"/>
      <c r="C933" s="86"/>
      <c r="D933" s="86"/>
    </row>
    <row r="934">
      <c r="B934" s="86"/>
      <c r="C934" s="86"/>
      <c r="D934" s="86"/>
    </row>
    <row r="935">
      <c r="B935" s="86"/>
      <c r="C935" s="86"/>
      <c r="D935" s="86"/>
    </row>
    <row r="936">
      <c r="B936" s="86"/>
      <c r="C936" s="86"/>
      <c r="D936" s="86"/>
    </row>
    <row r="937">
      <c r="B937" s="86"/>
      <c r="C937" s="86"/>
      <c r="D937" s="86"/>
    </row>
    <row r="938">
      <c r="B938" s="86"/>
      <c r="C938" s="86"/>
      <c r="D938" s="86"/>
    </row>
    <row r="939">
      <c r="B939" s="86"/>
      <c r="C939" s="86"/>
      <c r="D939" s="86"/>
    </row>
    <row r="940">
      <c r="B940" s="86"/>
      <c r="C940" s="86"/>
      <c r="D940" s="86"/>
    </row>
    <row r="941">
      <c r="B941" s="86"/>
      <c r="C941" s="86"/>
      <c r="D941" s="86"/>
    </row>
    <row r="942">
      <c r="B942" s="86"/>
      <c r="C942" s="86"/>
      <c r="D942" s="86"/>
    </row>
    <row r="943">
      <c r="B943" s="86"/>
      <c r="C943" s="86"/>
      <c r="D943" s="86"/>
    </row>
    <row r="944">
      <c r="B944" s="86"/>
      <c r="C944" s="86"/>
      <c r="D944" s="86"/>
    </row>
    <row r="945">
      <c r="B945" s="86"/>
      <c r="C945" s="86"/>
      <c r="D945" s="86"/>
    </row>
    <row r="946">
      <c r="B946" s="86"/>
      <c r="C946" s="86"/>
      <c r="D946" s="86"/>
    </row>
    <row r="947">
      <c r="B947" s="86"/>
      <c r="C947" s="86"/>
      <c r="D947" s="86"/>
    </row>
    <row r="948">
      <c r="B948" s="86"/>
      <c r="C948" s="86"/>
      <c r="D948" s="86"/>
    </row>
    <row r="949">
      <c r="B949" s="86"/>
      <c r="C949" s="86"/>
      <c r="D949" s="86"/>
    </row>
    <row r="950">
      <c r="B950" s="86"/>
      <c r="C950" s="86"/>
      <c r="D950" s="86"/>
    </row>
    <row r="951">
      <c r="B951" s="86"/>
      <c r="C951" s="86"/>
      <c r="D951" s="86"/>
    </row>
    <row r="952">
      <c r="B952" s="86"/>
      <c r="C952" s="86"/>
      <c r="D952" s="86"/>
    </row>
    <row r="953">
      <c r="B953" s="86"/>
      <c r="C953" s="86"/>
      <c r="D953" s="86"/>
    </row>
    <row r="954">
      <c r="B954" s="86"/>
      <c r="C954" s="86"/>
      <c r="D954" s="86"/>
    </row>
    <row r="955">
      <c r="B955" s="86"/>
      <c r="C955" s="86"/>
      <c r="D955" s="86"/>
    </row>
    <row r="956">
      <c r="B956" s="86"/>
      <c r="C956" s="86"/>
      <c r="D956" s="86"/>
    </row>
    <row r="957">
      <c r="B957" s="86"/>
      <c r="C957" s="86"/>
      <c r="D957" s="86"/>
    </row>
    <row r="958">
      <c r="B958" s="86"/>
      <c r="C958" s="86"/>
      <c r="D958" s="86"/>
    </row>
    <row r="959">
      <c r="B959" s="86"/>
      <c r="C959" s="86"/>
      <c r="D959" s="86"/>
    </row>
    <row r="960">
      <c r="B960" s="86"/>
      <c r="C960" s="86"/>
      <c r="D960" s="86"/>
    </row>
    <row r="961">
      <c r="B961" s="86"/>
      <c r="C961" s="86"/>
      <c r="D961" s="86"/>
    </row>
    <row r="962">
      <c r="B962" s="86"/>
      <c r="C962" s="86"/>
      <c r="D962" s="86"/>
    </row>
    <row r="963">
      <c r="B963" s="86"/>
      <c r="C963" s="86"/>
      <c r="D963" s="86"/>
    </row>
    <row r="964">
      <c r="B964" s="86"/>
      <c r="C964" s="86"/>
      <c r="D964" s="86"/>
    </row>
    <row r="965">
      <c r="B965" s="86"/>
      <c r="C965" s="86"/>
      <c r="D965" s="86"/>
    </row>
    <row r="966">
      <c r="B966" s="86"/>
      <c r="C966" s="86"/>
      <c r="D966" s="86"/>
    </row>
    <row r="967">
      <c r="B967" s="86"/>
      <c r="C967" s="86"/>
      <c r="D967" s="86"/>
    </row>
    <row r="968">
      <c r="B968" s="86"/>
      <c r="C968" s="86"/>
      <c r="D968" s="86"/>
    </row>
    <row r="969">
      <c r="B969" s="86"/>
      <c r="C969" s="86"/>
      <c r="D969" s="86"/>
    </row>
    <row r="970">
      <c r="B970" s="86"/>
      <c r="C970" s="86"/>
      <c r="D970" s="86"/>
    </row>
    <row r="971">
      <c r="B971" s="86"/>
      <c r="C971" s="86"/>
      <c r="D971" s="86"/>
    </row>
    <row r="972">
      <c r="B972" s="86"/>
      <c r="C972" s="86"/>
      <c r="D972" s="86"/>
    </row>
    <row r="973">
      <c r="B973" s="86"/>
      <c r="C973" s="86"/>
      <c r="D973" s="86"/>
    </row>
    <row r="974">
      <c r="B974" s="86"/>
      <c r="C974" s="86"/>
      <c r="D974" s="86"/>
    </row>
    <row r="975">
      <c r="B975" s="86"/>
      <c r="C975" s="86"/>
      <c r="D975" s="86"/>
    </row>
    <row r="976">
      <c r="B976" s="86"/>
      <c r="C976" s="86"/>
      <c r="D976" s="86"/>
    </row>
    <row r="977">
      <c r="B977" s="86"/>
      <c r="C977" s="86"/>
      <c r="D977" s="86"/>
    </row>
    <row r="978">
      <c r="B978" s="86"/>
      <c r="C978" s="86"/>
      <c r="D978" s="86"/>
    </row>
    <row r="979">
      <c r="B979" s="86"/>
      <c r="C979" s="86"/>
      <c r="D979" s="86"/>
    </row>
    <row r="980">
      <c r="B980" s="86"/>
      <c r="C980" s="86"/>
      <c r="D980" s="86"/>
    </row>
    <row r="981">
      <c r="B981" s="86"/>
      <c r="C981" s="86"/>
      <c r="D981" s="86"/>
    </row>
    <row r="982">
      <c r="B982" s="86"/>
      <c r="C982" s="86"/>
      <c r="D982" s="86"/>
    </row>
    <row r="983">
      <c r="B983" s="86"/>
      <c r="C983" s="86"/>
      <c r="D983" s="86"/>
    </row>
    <row r="984">
      <c r="B984" s="86"/>
      <c r="C984" s="86"/>
      <c r="D984" s="86"/>
    </row>
    <row r="985">
      <c r="B985" s="86"/>
      <c r="C985" s="86"/>
      <c r="D985" s="86"/>
    </row>
    <row r="986">
      <c r="B986" s="86"/>
      <c r="C986" s="86"/>
      <c r="D986" s="86"/>
    </row>
    <row r="987">
      <c r="B987" s="86"/>
      <c r="C987" s="86"/>
      <c r="D987" s="86"/>
    </row>
    <row r="988">
      <c r="B988" s="86"/>
      <c r="C988" s="86"/>
      <c r="D988" s="86"/>
    </row>
    <row r="989">
      <c r="B989" s="86"/>
      <c r="C989" s="86"/>
      <c r="D989" s="86"/>
    </row>
    <row r="990">
      <c r="B990" s="86"/>
      <c r="C990" s="86"/>
      <c r="D990" s="86"/>
    </row>
    <row r="991">
      <c r="B991" s="86"/>
      <c r="C991" s="86"/>
      <c r="D991" s="86"/>
    </row>
    <row r="992">
      <c r="B992" s="86"/>
      <c r="C992" s="86"/>
      <c r="D992" s="86"/>
    </row>
    <row r="993">
      <c r="B993" s="86"/>
      <c r="C993" s="86"/>
      <c r="D993" s="86"/>
    </row>
    <row r="994">
      <c r="B994" s="86"/>
      <c r="C994" s="86"/>
      <c r="D994" s="86"/>
    </row>
    <row r="995">
      <c r="B995" s="86"/>
      <c r="C995" s="86"/>
      <c r="D995" s="86"/>
    </row>
    <row r="996">
      <c r="B996" s="86"/>
      <c r="C996" s="86"/>
      <c r="D996" s="86"/>
    </row>
    <row r="997">
      <c r="B997" s="86"/>
      <c r="C997" s="86"/>
      <c r="D997" s="86"/>
    </row>
    <row r="998">
      <c r="B998" s="86"/>
      <c r="C998" s="86"/>
      <c r="D998" s="86"/>
    </row>
    <row r="999">
      <c r="B999" s="86"/>
      <c r="C999" s="86"/>
      <c r="D999" s="86"/>
    </row>
    <row r="1000">
      <c r="B1000" s="86"/>
      <c r="C1000" s="86"/>
      <c r="D1000" s="86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02">
        <v>1614.0</v>
      </c>
      <c r="B2" s="202">
        <v>627.0</v>
      </c>
      <c r="C2" s="82">
        <f t="shared" ref="C2:C13" si="1">SUM(A2:B2)</f>
        <v>2241</v>
      </c>
    </row>
    <row r="3">
      <c r="A3" s="202">
        <v>2141.0</v>
      </c>
      <c r="B3" s="202">
        <v>738.0</v>
      </c>
      <c r="C3" s="82">
        <f t="shared" si="1"/>
        <v>2879</v>
      </c>
    </row>
    <row r="4">
      <c r="A4" s="202">
        <v>2395.0</v>
      </c>
      <c r="B4" s="202">
        <v>824.0</v>
      </c>
      <c r="C4" s="82">
        <f t="shared" si="1"/>
        <v>3219</v>
      </c>
    </row>
    <row r="5">
      <c r="A5" s="202">
        <v>1860.0</v>
      </c>
      <c r="B5" s="202">
        <v>689.0</v>
      </c>
      <c r="C5" s="82">
        <f t="shared" si="1"/>
        <v>2549</v>
      </c>
    </row>
    <row r="6">
      <c r="A6" s="202">
        <v>2967.0</v>
      </c>
      <c r="B6" s="202">
        <v>930.0</v>
      </c>
      <c r="C6" s="82">
        <f t="shared" si="1"/>
        <v>3897</v>
      </c>
    </row>
    <row r="7">
      <c r="A7" s="202">
        <v>1864.0</v>
      </c>
      <c r="B7" s="202">
        <v>734.0</v>
      </c>
      <c r="C7" s="82">
        <f t="shared" si="1"/>
        <v>2598</v>
      </c>
    </row>
    <row r="8">
      <c r="A8" s="202">
        <v>2136.0</v>
      </c>
      <c r="B8" s="202">
        <v>911.0</v>
      </c>
      <c r="C8" s="82">
        <f t="shared" si="1"/>
        <v>3047</v>
      </c>
    </row>
    <row r="9">
      <c r="A9" s="202">
        <v>2529.0</v>
      </c>
      <c r="B9" s="202">
        <v>787.0</v>
      </c>
      <c r="C9" s="82">
        <f t="shared" si="1"/>
        <v>3316</v>
      </c>
    </row>
    <row r="10">
      <c r="A10" s="202">
        <v>2203.0</v>
      </c>
      <c r="B10" s="202">
        <v>805.0</v>
      </c>
      <c r="C10" s="82">
        <f t="shared" si="1"/>
        <v>3008</v>
      </c>
    </row>
    <row r="11">
      <c r="A11" s="202">
        <v>1889.0</v>
      </c>
      <c r="B11" s="202">
        <v>771.0</v>
      </c>
      <c r="C11" s="82">
        <f t="shared" si="1"/>
        <v>2660</v>
      </c>
    </row>
    <row r="12">
      <c r="A12" s="202">
        <v>2035.0</v>
      </c>
      <c r="B12" s="202">
        <v>794.0</v>
      </c>
      <c r="C12" s="82">
        <f t="shared" si="1"/>
        <v>2829</v>
      </c>
    </row>
    <row r="13">
      <c r="A13" s="202">
        <v>1092.0</v>
      </c>
      <c r="B13" s="202">
        <v>390.0</v>
      </c>
      <c r="C13" s="82">
        <f t="shared" si="1"/>
        <v>1482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8">
        <v>2022.0</v>
      </c>
      <c r="B1" s="203">
        <f>AVERAGE('ОСНОВА'!AJ185:AJ227)</f>
        <v>37.81007752</v>
      </c>
    </row>
    <row r="2">
      <c r="A2" s="68">
        <v>2023.0</v>
      </c>
      <c r="B2" s="137">
        <f>AVERAGE('ОСНОВА'!AJ132:AJ184)</f>
        <v>36.61653792</v>
      </c>
    </row>
    <row r="3">
      <c r="A3" s="68">
        <v>2024.0</v>
      </c>
      <c r="B3" s="137">
        <f>AVERAGE('ОСНОВА'!AJ79:AJ131)</f>
        <v>36.49796731</v>
      </c>
    </row>
    <row r="4">
      <c r="A4" s="68">
        <v>2025.0</v>
      </c>
      <c r="B4" s="137">
        <f>AVERAGE('ОСНОВА'!AJ26:AJ78)</f>
        <v>38.8212749</v>
      </c>
    </row>
    <row r="18">
      <c r="L18" s="204"/>
    </row>
  </sheetData>
  <drawing r:id="rId1"/>
</worksheet>
</file>